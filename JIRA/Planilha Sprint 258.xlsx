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660" windowWidth="19440" windowHeight="14880" tabRatio="458" firstSheet="0" activeTab="1" autoFilterDateGrouping="1"/>
  </bookViews>
  <sheets>
    <sheet name="Planilha" sheetId="1" state="visible" r:id="rId1"/>
    <sheet name="Metricas" sheetId="2" state="visible" r:id="rId2"/>
    <sheet name="Parâmetros" sheetId="3" state="visible" r:id="rId3"/>
  </sheets>
  <definedNames>
    <definedName name="_xlnm._FilterDatabase" localSheetId="0" hidden="1">'Planilha'!$A$1:$W$46</definedName>
  </definedNames>
  <calcPr calcId="191028" fullCalcOnLoad="1"/>
</workbook>
</file>

<file path=xl/styles.xml><?xml version="1.0" encoding="utf-8"?>
<styleSheet xmlns="http://schemas.openxmlformats.org/spreadsheetml/2006/main">
  <numFmts count="1">
    <numFmt numFmtId="164" formatCode="0.0"/>
  </numFmts>
  <fonts count="18">
    <font>
      <name val="Aptos Narrow"/>
      <family val="2"/>
      <color theme="1"/>
      <sz val="11"/>
      <scheme val="minor"/>
    </font>
    <font>
      <name val="Aptos Narrow"/>
      <family val="2"/>
      <b val="1"/>
      <color theme="1"/>
      <sz val="11"/>
      <scheme val="minor"/>
    </font>
    <font>
      <name val="Aptos Narrow"/>
      <family val="2"/>
      <color theme="10"/>
      <sz val="11"/>
      <u val="single"/>
      <scheme val="minor"/>
    </font>
    <font>
      <name val="Aptos Narrow"/>
      <family val="2"/>
      <sz val="11"/>
      <scheme val="minor"/>
    </font>
    <font>
      <name val="Aptos Narrow"/>
      <family val="2"/>
      <b val="1"/>
      <color theme="0"/>
      <sz val="11"/>
      <scheme val="minor"/>
    </font>
    <font>
      <name val="Aptos Narrow"/>
      <family val="2"/>
      <color theme="1"/>
      <sz val="11"/>
      <u val="single"/>
      <scheme val="minor"/>
    </font>
    <font>
      <name val="Aptos Narrow"/>
      <family val="2"/>
      <sz val="11"/>
      <u val="single"/>
      <scheme val="minor"/>
    </font>
    <font>
      <name val="Aptos Narrow"/>
      <charset val="1"/>
      <color rgb="FF242424"/>
      <sz val="11"/>
    </font>
    <font>
      <name val="Consolas"/>
      <family val="3"/>
      <color rgb="FF242424"/>
      <sz val="11"/>
    </font>
    <font>
      <name val="Consolas"/>
      <family val="3"/>
      <b val="1"/>
      <color rgb="FF242424"/>
      <sz val="11"/>
    </font>
    <font>
      <name val="Segoe UI"/>
      <charset val="1"/>
      <b val="1"/>
      <color theme="1"/>
      <sz val="11"/>
    </font>
    <font>
      <name val="Segoe UI"/>
      <charset val="1"/>
      <color theme="1"/>
      <sz val="11"/>
    </font>
    <font>
      <name val="Aptos Narrow"/>
      <color rgb="FF000000"/>
      <sz val="11"/>
      <scheme val="minor"/>
    </font>
    <font>
      <name val="Segoe UI"/>
      <b val="1"/>
      <color rgb="FF000000"/>
      <sz val="11"/>
    </font>
    <font>
      <name val="Segoe UI"/>
      <color rgb="FF000000"/>
      <sz val="11"/>
    </font>
    <font>
      <name val="Aptos Narrow"/>
      <family val="2"/>
      <color rgb="FF000000"/>
      <sz val="11"/>
      <scheme val="minor"/>
    </font>
    <font>
      <name val="Aptos Narrow"/>
      <family val="2"/>
      <color theme="1"/>
      <sz val="11"/>
    </font>
    <font>
      <name val="Aptos Narrow"/>
      <family val="2"/>
      <color rgb="FF000000"/>
      <sz val="11"/>
    </font>
  </fonts>
  <fills count="10">
    <fill>
      <patternFill/>
    </fill>
    <fill>
      <patternFill patternType="gray125"/>
    </fill>
    <fill>
      <patternFill patternType="solid">
        <fgColor theme="1"/>
        <bgColor theme="1"/>
      </patternFill>
    </fill>
    <fill>
      <patternFill patternType="solid">
        <fgColor theme="3" tint="0.249977111117893"/>
        <bgColor indexed="64"/>
      </patternFill>
    </fill>
    <fill>
      <patternFill patternType="darkUp"/>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0" tint="-0.3499862666707358"/>
        <bgColor indexed="64"/>
      </patternFill>
    </fill>
    <fill>
      <patternFill patternType="solid">
        <fgColor theme="0" tint="-0.1499984740745262"/>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diagonalUp="1">
      <left/>
      <right style="thin">
        <color indexed="64"/>
      </right>
      <top/>
      <bottom style="thin">
        <color rgb="FF000000"/>
      </bottom>
      <diagonal style="medium">
        <color rgb="FF000000"/>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rgb="FF000000"/>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rgb="FF000000"/>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style="thin">
        <color rgb="FF000000"/>
      </left>
      <right style="thin">
        <color indexed="64"/>
      </right>
      <top style="thin">
        <color rgb="FF000000"/>
      </top>
      <bottom style="thin">
        <color theme="0"/>
      </bottom>
      <diagonal/>
    </border>
    <border>
      <left style="thin">
        <color rgb="FF000000"/>
      </left>
      <right style="thin">
        <color indexed="64"/>
      </right>
      <top style="thin">
        <color theme="0"/>
      </top>
      <bottom style="thin">
        <color theme="0"/>
      </bottom>
      <diagonal/>
    </border>
    <border>
      <left style="thin">
        <color rgb="FF000000"/>
      </left>
      <right style="thin">
        <color indexed="64"/>
      </right>
      <top style="thin">
        <color theme="0"/>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theme="0"/>
      </right>
      <top style="thin">
        <color indexed="64"/>
      </top>
      <bottom/>
      <diagonal/>
    </border>
    <border>
      <left/>
      <right style="thin">
        <color theme="0"/>
      </right>
      <top style="thin">
        <color indexed="64"/>
      </top>
      <bottom style="thin">
        <color theme="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top/>
      <bottom/>
      <diagonal/>
    </border>
    <border>
      <left style="thin">
        <color theme="0"/>
      </left>
      <right/>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2" fillId="0" borderId="0"/>
  </cellStyleXfs>
  <cellXfs count="92">
    <xf numFmtId="0" fontId="0" fillId="0" borderId="0" pivotButton="0" quotePrefix="0" xfId="0"/>
    <xf numFmtId="0" fontId="1" fillId="0" borderId="1" pivotButton="0" quotePrefix="0" xfId="0"/>
    <xf numFmtId="0" fontId="0" fillId="0" borderId="2" pivotButton="0" quotePrefix="0" xfId="0"/>
    <xf numFmtId="0" fontId="0" fillId="0" borderId="3" pivotButton="0" quotePrefix="0" xfId="0"/>
    <xf numFmtId="0" fontId="3" fillId="0" borderId="0" pivotButton="0" quotePrefix="0" xfId="0"/>
    <xf numFmtId="49" fontId="0" fillId="0" borderId="0" pivotButton="0" quotePrefix="0" xfId="0"/>
    <xf numFmtId="0" fontId="0" fillId="0" borderId="0" applyAlignment="1" pivotButton="0" quotePrefix="0" xfId="0">
      <alignment horizontal="right"/>
    </xf>
    <xf numFmtId="1" fontId="0" fillId="0" borderId="0" pivotButton="0" quotePrefix="0" xfId="0"/>
    <xf numFmtId="0" fontId="4" fillId="4" borderId="4" applyAlignment="1" pivotButton="0" quotePrefix="0" xfId="0">
      <alignment horizontal="right"/>
    </xf>
    <xf numFmtId="0" fontId="0" fillId="0" borderId="0" applyAlignment="1" pivotButton="0" quotePrefix="0" xfId="0">
      <alignment horizontal="center"/>
    </xf>
    <xf numFmtId="1" fontId="0" fillId="0" borderId="5" pivotButton="0" quotePrefix="0" xfId="0"/>
    <xf numFmtId="0" fontId="0" fillId="0" borderId="5" pivotButton="0" quotePrefix="0" xfId="0"/>
    <xf numFmtId="0" fontId="3" fillId="0" borderId="0" applyAlignment="1" pivotButton="0" quotePrefix="0" xfId="0">
      <alignment horizontal="center"/>
    </xf>
    <xf numFmtId="1" fontId="8" fillId="0" borderId="5" pivotButton="0" quotePrefix="0" xfId="0"/>
    <xf numFmtId="164" fontId="8" fillId="0" borderId="5" pivotButton="0" quotePrefix="0" xfId="0"/>
    <xf numFmtId="0" fontId="4" fillId="2" borderId="5" applyAlignment="1" pivotButton="0" quotePrefix="0" xfId="0">
      <alignment horizontal="left" vertical="top"/>
    </xf>
    <xf numFmtId="0" fontId="4" fillId="2" borderId="5" applyAlignment="1" pivotButton="0" quotePrefix="0" xfId="0">
      <alignment horizontal="center" vertical="top"/>
    </xf>
    <xf numFmtId="14" fontId="0" fillId="5" borderId="5" pivotButton="0" quotePrefix="0" xfId="0"/>
    <xf numFmtId="49" fontId="0" fillId="5" borderId="5" pivotButton="0" quotePrefix="0" xfId="0"/>
    <xf numFmtId="0" fontId="0" fillId="5" borderId="5" pivotButton="0" quotePrefix="0" xfId="0"/>
    <xf numFmtId="0" fontId="6" fillId="5" borderId="5" applyAlignment="1" pivotButton="0" quotePrefix="0" xfId="0">
      <alignment horizontal="left" vertical="top"/>
    </xf>
    <xf numFmtId="0" fontId="3" fillId="5" borderId="5" applyAlignment="1" pivotButton="0" quotePrefix="0" xfId="0">
      <alignment horizontal="right" vertical="top"/>
    </xf>
    <xf numFmtId="0" fontId="5" fillId="5" borderId="5" pivotButton="0" quotePrefix="0" xfId="1"/>
    <xf numFmtId="0" fontId="3" fillId="5" borderId="5" applyAlignment="1" pivotButton="0" quotePrefix="0" xfId="0">
      <alignment horizontal="left" vertical="top"/>
    </xf>
    <xf numFmtId="0" fontId="7" fillId="5" borderId="5" pivotButton="0" quotePrefix="0" xfId="0"/>
    <xf numFmtId="1" fontId="0" fillId="5" borderId="5" pivotButton="0" quotePrefix="0" xfId="0"/>
    <xf numFmtId="0" fontId="0" fillId="5" borderId="5" applyAlignment="1" pivotButton="0" quotePrefix="0" xfId="0">
      <alignment horizontal="right"/>
    </xf>
    <xf numFmtId="0" fontId="3" fillId="5" borderId="5" applyAlignment="1" pivotButton="0" quotePrefix="0" xfId="0">
      <alignment horizontal="center"/>
    </xf>
    <xf numFmtId="14" fontId="0" fillId="0" borderId="5" pivotButton="0" quotePrefix="0" xfId="0"/>
    <xf numFmtId="49" fontId="0" fillId="0" borderId="5" pivotButton="0" quotePrefix="0" xfId="0"/>
    <xf numFmtId="0" fontId="6" fillId="0" borderId="5" applyAlignment="1" pivotButton="0" quotePrefix="0" xfId="0">
      <alignment horizontal="left" vertical="top"/>
    </xf>
    <xf numFmtId="0" fontId="3" fillId="0" borderId="5" applyAlignment="1" pivotButton="0" quotePrefix="0" xfId="0">
      <alignment horizontal="right" vertical="top"/>
    </xf>
    <xf numFmtId="0" fontId="5" fillId="0" borderId="5" pivotButton="0" quotePrefix="0" xfId="1"/>
    <xf numFmtId="0" fontId="3" fillId="0" borderId="5" applyAlignment="1" pivotButton="0" quotePrefix="0" xfId="0">
      <alignment horizontal="left" vertical="top"/>
    </xf>
    <xf numFmtId="0" fontId="0" fillId="0" borderId="5" applyAlignment="1" pivotButton="0" quotePrefix="0" xfId="0">
      <alignment horizontal="right"/>
    </xf>
    <xf numFmtId="0" fontId="3" fillId="7" borderId="5" applyAlignment="1" pivotButton="0" quotePrefix="0" xfId="0">
      <alignment horizontal="center"/>
    </xf>
    <xf numFmtId="0" fontId="3" fillId="0" borderId="5" pivotButton="0" quotePrefix="0" xfId="0"/>
    <xf numFmtId="0" fontId="0" fillId="0" borderId="5" applyAlignment="1" pivotButton="0" quotePrefix="0" xfId="0">
      <alignment vertical="top" wrapText="1"/>
    </xf>
    <xf numFmtId="0" fontId="0" fillId="7" borderId="5" applyAlignment="1" pivotButton="0" quotePrefix="0" xfId="0">
      <alignment horizontal="center"/>
    </xf>
    <xf numFmtId="0" fontId="3" fillId="0" borderId="5" applyAlignment="1" pivotButton="0" quotePrefix="0" xfId="0">
      <alignment vertical="top" wrapText="1"/>
    </xf>
    <xf numFmtId="0" fontId="2" fillId="0" borderId="5" pivotButton="0" quotePrefix="0" xfId="1"/>
    <xf numFmtId="0" fontId="7" fillId="0" borderId="5" pivotButton="0" quotePrefix="0" xfId="0"/>
    <xf numFmtId="0" fontId="0" fillId="0" borderId="8" applyAlignment="1" pivotButton="0" quotePrefix="0" xfId="0">
      <alignment horizontal="right"/>
    </xf>
    <xf numFmtId="0" fontId="0" fillId="3" borderId="5" pivotButton="0" quotePrefix="0" xfId="0"/>
    <xf numFmtId="0" fontId="2" fillId="7" borderId="5" applyAlignment="1" pivotButton="0" quotePrefix="0" xfId="1">
      <alignment horizontal="center"/>
    </xf>
    <xf numFmtId="0" fontId="0" fillId="0" borderId="5" applyAlignment="1" pivotButton="0" quotePrefix="0" xfId="0">
      <alignment horizontal="center"/>
    </xf>
    <xf numFmtId="0" fontId="0" fillId="3" borderId="5" applyAlignment="1" pivotButton="0" quotePrefix="0" xfId="0">
      <alignment horizontal="center"/>
    </xf>
    <xf numFmtId="0" fontId="3" fillId="0" borderId="5" applyAlignment="1" pivotButton="0" quotePrefix="0" xfId="0">
      <alignment horizontal="center"/>
    </xf>
    <xf numFmtId="0" fontId="15" fillId="0" borderId="5" pivotButton="0" quotePrefix="0" xfId="0"/>
    <xf numFmtId="0" fontId="4" fillId="6" borderId="9" applyAlignment="1" pivotButton="0" quotePrefix="0" xfId="0">
      <alignment horizontal="center"/>
    </xf>
    <xf numFmtId="0" fontId="4" fillId="6" borderId="10" applyAlignment="1" pivotButton="0" quotePrefix="0" xfId="0">
      <alignment horizontal="center"/>
    </xf>
    <xf numFmtId="0" fontId="4" fillId="6" borderId="11" applyAlignment="1" pivotButton="0" quotePrefix="0" xfId="0">
      <alignment horizontal="center"/>
    </xf>
    <xf numFmtId="1" fontId="4" fillId="2" borderId="15" applyAlignment="1" pivotButton="0" quotePrefix="0" xfId="0">
      <alignment horizontal="center"/>
    </xf>
    <xf numFmtId="1" fontId="4" fillId="2" borderId="16" applyAlignment="1" pivotButton="0" quotePrefix="0" xfId="0">
      <alignment horizontal="center"/>
    </xf>
    <xf numFmtId="1" fontId="4" fillId="2" borderId="18" applyAlignment="1" pivotButton="0" quotePrefix="0" xfId="0">
      <alignment horizontal="right"/>
    </xf>
    <xf numFmtId="0" fontId="4" fillId="2" borderId="19" applyAlignment="1" pivotButton="0" quotePrefix="0" xfId="0">
      <alignment horizontal="right"/>
    </xf>
    <xf numFmtId="0" fontId="4" fillId="2" borderId="20" applyAlignment="1" pivotButton="0" quotePrefix="0" xfId="0">
      <alignment horizontal="right"/>
    </xf>
    <xf numFmtId="0" fontId="4" fillId="2" borderId="18" applyAlignment="1" pivotButton="0" quotePrefix="0" xfId="0">
      <alignment horizontal="right"/>
    </xf>
    <xf numFmtId="1" fontId="4" fillId="2" borderId="13" applyAlignment="1" pivotButton="0" quotePrefix="0" xfId="0">
      <alignment horizontal="center"/>
    </xf>
    <xf numFmtId="0" fontId="0" fillId="4" borderId="5" applyAlignment="1" pivotButton="0" quotePrefix="0" xfId="0">
      <alignment horizontal="center"/>
    </xf>
    <xf numFmtId="0" fontId="4" fillId="4" borderId="6" applyAlignment="1" pivotButton="0" quotePrefix="0" xfId="0">
      <alignment horizontal="center"/>
    </xf>
    <xf numFmtId="0" fontId="4" fillId="4" borderId="7" applyAlignment="1" pivotButton="0" quotePrefix="0" xfId="0">
      <alignment horizontal="center"/>
    </xf>
    <xf numFmtId="1" fontId="4" fillId="2" borderId="13" applyAlignment="1" pivotButton="0" quotePrefix="0" xfId="0">
      <alignment horizontal="center" vertical="center"/>
    </xf>
    <xf numFmtId="1" fontId="4" fillId="2" borderId="16" applyAlignment="1" pivotButton="0" quotePrefix="0" xfId="0">
      <alignment horizontal="center" vertical="center"/>
    </xf>
    <xf numFmtId="1" fontId="4" fillId="2" borderId="14" applyAlignment="1" pivotButton="0" quotePrefix="0" xfId="0">
      <alignment horizontal="center" vertical="center"/>
    </xf>
    <xf numFmtId="1" fontId="4" fillId="2" borderId="17" applyAlignment="1" pivotButton="0" quotePrefix="0" xfId="0">
      <alignment horizontal="center" vertical="center"/>
    </xf>
    <xf numFmtId="1" fontId="4" fillId="2" borderId="12" applyAlignment="1" pivotButton="0" quotePrefix="0" xfId="0">
      <alignment horizontal="center"/>
    </xf>
    <xf numFmtId="0" fontId="4" fillId="2" borderId="5" pivotButton="0" quotePrefix="0" xfId="0"/>
    <xf numFmtId="49" fontId="4" fillId="2" borderId="5" pivotButton="0" quotePrefix="0" xfId="0"/>
    <xf numFmtId="0" fontId="4" fillId="2" borderId="5" applyAlignment="1" pivotButton="0" quotePrefix="0" xfId="0">
      <alignment horizontal="right" vertical="top"/>
    </xf>
    <xf numFmtId="0" fontId="4" fillId="2" borderId="5" applyAlignment="1" pivotButton="0" quotePrefix="0" xfId="0">
      <alignment horizontal="left"/>
    </xf>
    <xf numFmtId="0" fontId="4" fillId="3" borderId="5" applyAlignment="1" pivotButton="0" quotePrefix="0" xfId="0">
      <alignment horizontal="center"/>
    </xf>
    <xf numFmtId="0" fontId="3" fillId="3" borderId="5" pivotButton="0" quotePrefix="0" xfId="0"/>
    <xf numFmtId="0" fontId="2" fillId="5" borderId="5" applyAlignment="1" pivotButton="0" quotePrefix="0" xfId="1">
      <alignment horizontal="center"/>
    </xf>
    <xf numFmtId="0" fontId="16" fillId="0" borderId="0" pivotButton="0" quotePrefix="0" xfId="0"/>
    <xf numFmtId="0" fontId="17" fillId="0" borderId="0" pivotButton="0" quotePrefix="0" xfId="0"/>
    <xf numFmtId="0" fontId="17" fillId="0" borderId="0" pivotButton="0" quotePrefix="0" xfId="0"/>
    <xf numFmtId="1" fontId="9" fillId="8" borderId="5" pivotButton="0" quotePrefix="0" xfId="0"/>
    <xf numFmtId="164" fontId="9" fillId="8" borderId="5" pivotButton="0" quotePrefix="0" xfId="0"/>
    <xf numFmtId="1" fontId="9" fillId="9" borderId="5" pivotButton="0" quotePrefix="0" xfId="0"/>
    <xf numFmtId="164" fontId="9" fillId="9" borderId="5" pivotButton="0" quotePrefix="0" xfId="0"/>
    <xf numFmtId="0" fontId="0" fillId="0" borderId="22" pivotButton="0" quotePrefix="0" xfId="0"/>
    <xf numFmtId="0" fontId="0" fillId="0" borderId="21"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4" fillId="4" borderId="29" applyAlignment="1" pivotButton="0" quotePrefix="0" xfId="0">
      <alignment horizontal="center"/>
    </xf>
    <xf numFmtId="0" fontId="0" fillId="0" borderId="24" pivotButton="0" quotePrefix="0" xfId="0"/>
    <xf numFmtId="0" fontId="0" fillId="0" borderId="7" pivotButton="0" quotePrefix="0" xfId="0"/>
    <xf numFmtId="0" fontId="0" fillId="0" borderId="33" pivotButton="0" quotePrefix="0" xfId="0"/>
    <xf numFmtId="0" fontId="0" fillId="0" borderId="34" pivotButton="0" quotePrefix="0" xfId="0"/>
  </cellXfs>
  <cellStyles count="2">
    <cellStyle name="Normal" xfId="0" builtinId="0"/>
    <cellStyle name="Hiperlink" xfId="1" builtinId="8"/>
  </cellStyles>
  <dxfs count="14">
    <dxf>
      <font>
        <name val="Aptos Narrow"/>
        <family val="2"/>
        <strike val="0"/>
        <outline val="0"/>
        <shadow val="0"/>
        <condense val="0"/>
        <color rgb="FF000000"/>
        <extend val="0"/>
        <sz val="11"/>
        <vertAlign val="baseline"/>
      </font>
    </dxf>
    <dxf>
      <font>
        <name val="Aptos Narrow"/>
        <family val="2"/>
        <strike val="0"/>
        <outline val="0"/>
        <shadow val="0"/>
        <condense val="0"/>
        <color rgb="FF000000"/>
        <extend val="0"/>
        <sz val="11"/>
        <vertAlign val="baseline"/>
      </font>
      <fill>
        <patternFill>
          <fgColor indexed="64"/>
          <bgColor auto="1"/>
        </patternFill>
      </fill>
    </dxf>
    <dxf>
      <font>
        <name val="Aptos Narrow"/>
        <family val="2"/>
        <strike val="0"/>
        <outline val="0"/>
        <shadow val="0"/>
        <sz val="11"/>
        <vertAlign val="baseline"/>
      </font>
    </dxf>
    <dxf>
      <font>
        <name val="Aptos Narrow"/>
        <family val="2"/>
        <strike val="0"/>
        <outline val="0"/>
        <shadow val="0"/>
        <sz val="11"/>
        <vertAlign val="baseline"/>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ptos Narrow"/>
        <family val="2"/>
        <b val="1"/>
        <strike val="0"/>
        <outline val="0"/>
        <shadow val="0"/>
        <condense val="0"/>
        <color theme="1"/>
        <extend val="0"/>
        <sz val="11"/>
        <vertAlign val="baseline"/>
        <scheme val="minor"/>
      </font>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ptos Narrow"/>
        <family val="2"/>
        <b val="1"/>
        <strike val="0"/>
        <outline val="0"/>
        <shadow val="0"/>
        <condense val="0"/>
        <color theme="1"/>
        <extend val="0"/>
        <sz val="11"/>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ela3" displayName="Tabela3" ref="B2:B6" headerRowCount="1" totalsRowShown="0" headerRowDxfId="13" headerRowBorderDxfId="12" tableBorderDxfId="11" totalsRowBorderDxfId="10">
  <autoFilter ref="B2:B6"/>
  <tableColumns count="1">
    <tableColumn id="1" name="Tipos Jira" dataDxfId="9"/>
  </tableColumns>
  <tableStyleInfo name="TableStyleMedium2" showFirstColumn="0" showLastColumn="0" showRowStripes="1" showColumnStripes="0"/>
</table>
</file>

<file path=xl/tables/table2.xml><?xml version="1.0" encoding="utf-8"?>
<table xmlns="http://schemas.openxmlformats.org/spreadsheetml/2006/main" id="2" name="Tabela7" displayName="Tabela7" ref="D2:D12" headerRowCount="1" totalsRowShown="0" headerRowDxfId="8" headerRowBorderDxfId="7" tableBorderDxfId="6" totalsRowBorderDxfId="5">
  <autoFilter ref="D2:D12"/>
  <tableColumns count="1">
    <tableColumn id="1" name="Etapa Jira" dataDxfId="4"/>
  </tableColumns>
  <tableStyleInfo name="TableStyleMedium3" showFirstColumn="0" showLastColumn="0" showRowStripes="1" showColumnStripes="0"/>
</table>
</file>

<file path=xl/tables/table3.xml><?xml version="1.0" encoding="utf-8"?>
<table xmlns="http://schemas.openxmlformats.org/spreadsheetml/2006/main" id="3" name="Tabela9" displayName="Tabela9" ref="F2:H10" headerRowCount="1" totalsRowShown="0">
  <autoFilter ref="F2:H10"/>
  <sortState ref="F3:H10">
    <sortCondition ref="F2:F10"/>
  </sortState>
  <tableColumns count="3">
    <tableColumn id="1" name="Pessoas"/>
    <tableColumn id="3" name="Role"/>
    <tableColumn id="2" name="UUID Jira"/>
  </tableColumns>
  <tableStyleInfo name="TableStyleMedium6" showFirstColumn="0" showLastColumn="0" showRowStripes="1" showColumnStripes="0"/>
</table>
</file>

<file path=xl/tables/table4.xml><?xml version="1.0" encoding="utf-8"?>
<table xmlns="http://schemas.openxmlformats.org/spreadsheetml/2006/main" id="4" name="Tabela5" displayName="Tabela5" ref="J2:K5" headerRowCount="1" totalsRowShown="0">
  <autoFilter ref="J2:K5"/>
  <tableColumns count="2">
    <tableColumn id="1" name="Tipos"/>
    <tableColumn id="2" name="Descrição"/>
  </tableColumns>
  <tableStyleInfo name="TableStyleMedium7" showFirstColumn="0" showLastColumn="0" showRowStripes="1" showColumnStripes="0"/>
</table>
</file>

<file path=xl/tables/table5.xml><?xml version="1.0" encoding="utf-8"?>
<table xmlns="http://schemas.openxmlformats.org/spreadsheetml/2006/main" id="5" name="Tabela4" displayName="Tabela4" ref="M2:N9" headerRowCount="1" totalsRowShown="0" headerRowDxfId="3" dataDxfId="2">
  <autoFilter ref="M2:N9"/>
  <tableColumns count="2">
    <tableColumn id="1" name="Horas" dataDxfId="1"/>
    <tableColumn id="2" name="Pontos"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ensemble@thyssenkruppelevadores.com.br" TargetMode="External" Id="rId1" /><Relationship Type="http://schemas.openxmlformats.org/officeDocument/2006/relationships/hyperlink" Target="mailto:ensemble@thyssenkruppelevadores.com.br" TargetMode="External" Id="rId2" /><Relationship Type="http://schemas.openxmlformats.org/officeDocument/2006/relationships/hyperlink" Target="mailto:ensemble@thyssenkruppelevadores.com.br" TargetMode="External" Id="rId3" /><Relationship Type="http://schemas.openxmlformats.org/officeDocument/2006/relationships/hyperlink" Target="mailto:ensemble@thyssenkruppelevadores.com.br" TargetMode="External" Id="rId4" /><Relationship Type="http://schemas.openxmlformats.org/officeDocument/2006/relationships/hyperlink" Target="mailto:ensemble@thyssenkruppelevadores.com.br" TargetMode="External" Id="rId5" /><Relationship Type="http://schemas.openxmlformats.org/officeDocument/2006/relationships/hyperlink" Target="mailto:ensemble@thyssenkruppelevadores.com.br" TargetMode="External" Id="rId6" /><Relationship Type="http://schemas.openxmlformats.org/officeDocument/2006/relationships/hyperlink" Target="mailto:ensemble@thyssenkruppelevadores.com.br" TargetMode="External" Id="rId7" /><Relationship Type="http://schemas.openxmlformats.org/officeDocument/2006/relationships/hyperlink" Target="mailto:ensemble@thyssenkruppelevadores.com.br" TargetMode="External" Id="rId8" /><Relationship Type="http://schemas.openxmlformats.org/officeDocument/2006/relationships/hyperlink" Target="mailto:ensemble@thyssenkruppelevadores.com.br" TargetMode="External" Id="rId9" /><Relationship Type="http://schemas.openxmlformats.org/officeDocument/2006/relationships/hyperlink" Target="https://tke.service-now.com/sc_task.do?sys_id=8b622018fb99cb1079faf027aeefdc36&amp;sysparm_record_target=sc_task&amp;sysparm_record_row=1&amp;sysparm_record_rows=1&amp;sysparm_record_list=request_item%3D7262ecd4fb99cb1079faf027aeefdc69%5EORDERBYDESCopened_at" TargetMode="External" Id="rId10" /><Relationship Type="http://schemas.openxmlformats.org/officeDocument/2006/relationships/hyperlink" Target="mailto:ensemble@thyssenkruppelevadores.com.br" TargetMode="External" Id="rId11" /><Relationship Type="http://schemas.openxmlformats.org/officeDocument/2006/relationships/hyperlink" Target="https://tke.service-now.com/sc_task.do?sys_id=f220eaf33b9e76d05d7541dc73e45a57&amp;sysparm_record_target=sc_task&amp;sysparm_record_row=1&amp;sysparm_record_rows=3&amp;sysparm_record_list=request_item%3D65cb6a1b2b51b6101fb4f8614391bf9d%5EORDERBYDESCopened_at" TargetMode="External" Id="rId12" /><Relationship Type="http://schemas.openxmlformats.org/officeDocument/2006/relationships/hyperlink" Target="mailto:ensemble@thyssenkruppelevadores.com.br" TargetMode="External" Id="rId13" /><Relationship Type="http://schemas.openxmlformats.org/officeDocument/2006/relationships/hyperlink" Target="mailto:ensemble@thyssenkruppelevadores.com.br" TargetMode="External" Id="rId14" /><Relationship Type="http://schemas.openxmlformats.org/officeDocument/2006/relationships/hyperlink" Target="mailto:ensemble@thyssenkruppelevadores.com.br" TargetMode="External" Id="rId15" /><Relationship Type="http://schemas.openxmlformats.org/officeDocument/2006/relationships/hyperlink" Target="mailto:ensemble@thyssenkruppelevadores.com.br" TargetMode="External" Id="rId16" /><Relationship Type="http://schemas.openxmlformats.org/officeDocument/2006/relationships/hyperlink" Target="mailto:ensemble@thyssenkruppelevadores.com.br" TargetMode="External" Id="rId17" /><Relationship Type="http://schemas.openxmlformats.org/officeDocument/2006/relationships/hyperlink" Target="https://tke.service-now.com/sc_task.do?sys_id=ca60916dfb5d07906f08fcbaaeefdc5a&amp;sysparm_record_target=sc_task&amp;sysparm_record_row=2&amp;sysparm_record_rows=4&amp;sysparm_record_list=request_item%3D98112d0c2be0871c715bf1c3d891bf67%5EORDERBYDESCopened_at" TargetMode="External" Id="rId18" /><Relationship Type="http://schemas.openxmlformats.org/officeDocument/2006/relationships/hyperlink" Target="mailto:ensemble@thyssenkruppelevadores.com.br" TargetMode="External" Id="rId19" /><Relationship Type="http://schemas.openxmlformats.org/officeDocument/2006/relationships/hyperlink" Target="mailto:ensemble@thyssenkruppelevadores.com.br" TargetMode="External" Id="rId20" /><Relationship Type="http://schemas.openxmlformats.org/officeDocument/2006/relationships/hyperlink" Target="mailto:ensemble@thyssenkruppelevadores.com.br" TargetMode="External" Id="rId21" /><Relationship Type="http://schemas.openxmlformats.org/officeDocument/2006/relationships/hyperlink" Target="mailto:ensemble@thyssenkruppelevadores.com.br" TargetMode="External" Id="rId22" /><Relationship Type="http://schemas.openxmlformats.org/officeDocument/2006/relationships/hyperlink" Target="mailto:ensemble@thyssenkruppelevadores.com.br" TargetMode="External" Id="rId23" /><Relationship Type="http://schemas.openxmlformats.org/officeDocument/2006/relationships/hyperlink" Target="mailto:ensemble@thyssenkruppelevadores.com.br" TargetMode="External" Id="rId24" /><Relationship Type="http://schemas.openxmlformats.org/officeDocument/2006/relationships/hyperlink" Target="mailto:ensemble@thyssenkruppelevadores.com.br" TargetMode="External" Id="rId25" /><Relationship Type="http://schemas.openxmlformats.org/officeDocument/2006/relationships/hyperlink" Target="mailto:ensemble@thyssenkruppelevadores.com.br" TargetMode="External" Id="rId26" /><Relationship Type="http://schemas.openxmlformats.org/officeDocument/2006/relationships/hyperlink" Target="mailto:ensemble@thyssenkruppelevadores.com.br" TargetMode="External" Id="rId27" /><Relationship Type="http://schemas.openxmlformats.org/officeDocument/2006/relationships/hyperlink" Target="mailto:ensemble@thyssenkruppelevadores.com.br" TargetMode="External" Id="rId28" /><Relationship Type="http://schemas.openxmlformats.org/officeDocument/2006/relationships/hyperlink" Target="mailto:ensemble@thyssenkruppelevadores.com.br" TargetMode="External" Id="rId29" /><Relationship Type="http://schemas.openxmlformats.org/officeDocument/2006/relationships/hyperlink" Target="mailto:ensemble@thyssenkruppelevadores.com.br" TargetMode="External" Id="rId30" /><Relationship Type="http://schemas.openxmlformats.org/officeDocument/2006/relationships/hyperlink" Target="mailto:ensemble@thyssenkruppelevadores.com.br" TargetMode="External" Id="rId31" /><Relationship Type="http://schemas.openxmlformats.org/officeDocument/2006/relationships/hyperlink" Target="mailto:ensemble@thyssenkruppelevadores.com.br" TargetMode="External" Id="rId32" /><Relationship Type="http://schemas.openxmlformats.org/officeDocument/2006/relationships/hyperlink" Target="mailto:ensemble@thyssenkruppelevadores.com.br" TargetMode="External" Id="rId33" /><Relationship Type="http://schemas.openxmlformats.org/officeDocument/2006/relationships/hyperlink" Target="mailto:ensemble@thyssenkruppelevadores.com.br" TargetMode="External" Id="rId34" /><Relationship Type="http://schemas.openxmlformats.org/officeDocument/2006/relationships/hyperlink" Target="mailto:ensemble@thyssenkruppelevadores.com.br" TargetMode="External" Id="rId35" /><Relationship Type="http://schemas.openxmlformats.org/officeDocument/2006/relationships/hyperlink" Target="mailto:ensemble@thyssenkruppelevadores.com.br" TargetMode="External" Id="rId36" /><Relationship Type="http://schemas.openxmlformats.org/officeDocument/2006/relationships/hyperlink" Target="mailto:ensemble@thyssenkruppelevadores.com.br" TargetMode="External" Id="rId37" /><Relationship Type="http://schemas.openxmlformats.org/officeDocument/2006/relationships/hyperlink" Target="mailto:ensemble@thyssenkruppelevadores.com.br" TargetMode="External" Id="rId38" /><Relationship Type="http://schemas.openxmlformats.org/officeDocument/2006/relationships/hyperlink" Target="mailto:ensemble@thyssenkruppelevadores.com.br" TargetMode="External" Id="rId39" /><Relationship Type="http://schemas.openxmlformats.org/officeDocument/2006/relationships/hyperlink" Target="mailto:ensemble@thyssenkruppelevadores.com.br" TargetMode="External" Id="rId40" /><Relationship Type="http://schemas.openxmlformats.org/officeDocument/2006/relationships/hyperlink" Target="mailto:ensemble@thyssenkruppelevadores.com.br" TargetMode="External" Id="rId41" /><Relationship Type="http://schemas.openxmlformats.org/officeDocument/2006/relationships/hyperlink" Target="mailto:ensemble@thyssenkruppelevadores.com.br" TargetMode="External" Id="rId42" /><Relationship Type="http://schemas.openxmlformats.org/officeDocument/2006/relationships/hyperlink" Target="mailto:ensemble@thyssenkruppelevadores.com.br" TargetMode="External" Id="rId43" /><Relationship Type="http://schemas.openxmlformats.org/officeDocument/2006/relationships/hyperlink" Target="mailto:ensemble@thyssenkruppelevadores.com.br" TargetMode="External" Id="rId44" /><Relationship Type="http://schemas.openxmlformats.org/officeDocument/2006/relationships/hyperlink" Target="mailto:ensemble@thyssenkruppelevadores.com.br" TargetMode="External" Id="rId45" /><Relationship Type="http://schemas.openxmlformats.org/officeDocument/2006/relationships/hyperlink" Target="mailto:ensemble@thyssenkruppelevadores.com.br" TargetMode="External" Id="rId46" /><Relationship Type="http://schemas.openxmlformats.org/officeDocument/2006/relationships/hyperlink" Target="mailto:ensemble@thyssenkruppelevadores.com.br" TargetMode="External" Id="rId47" /><Relationship Type="http://schemas.openxmlformats.org/officeDocument/2006/relationships/hyperlink" Target="mailto:ensemble@thyssenkruppelevadores.com.br" TargetMode="External" Id="rId48" /></Relationships>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sheet1.xml><?xml version="1.0" encoding="utf-8"?>
<worksheet xmlns="http://schemas.openxmlformats.org/spreadsheetml/2006/main">
  <sheetPr>
    <outlinePr summaryBelow="1" summaryRight="1"/>
    <pageSetUpPr/>
  </sheetPr>
  <dimension ref="A1:AM46"/>
  <sheetViews>
    <sheetView showGridLines="0" topLeftCell="O1" workbookViewId="0">
      <pane ySplit="1" topLeftCell="A8" activePane="bottomLeft" state="frozen"/>
      <selection pane="bottomLeft" activeCell="U1" sqref="U1:U1048576"/>
    </sheetView>
  </sheetViews>
  <sheetFormatPr baseColWidth="8" defaultColWidth="9.109375" defaultRowHeight="15" customHeight="1"/>
  <cols>
    <col width="9.88671875" bestFit="1" customWidth="1" min="1" max="1"/>
    <col width="11.109375" bestFit="1" customWidth="1" style="5" min="2" max="2"/>
    <col width="15" bestFit="1" customWidth="1" min="3" max="3"/>
    <col width="15.6640625" bestFit="1" customWidth="1" min="4" max="4"/>
    <col hidden="1" width="14.33203125" customWidth="1" min="5" max="6"/>
    <col hidden="1" width="10.88671875" customWidth="1" min="7" max="7"/>
    <col hidden="1" width="25" customWidth="1" min="8" max="8"/>
    <col hidden="1" width="39.44140625" customWidth="1" min="9" max="9"/>
    <col hidden="1" width="22.44140625" customWidth="1" min="10" max="10"/>
    <col hidden="1" width="42.88671875" customWidth="1" min="11" max="11"/>
    <col width="24.6640625" customWidth="1" min="12" max="12"/>
    <col width="45.33203125" customWidth="1" min="13" max="13"/>
    <col width="39.6640625" customWidth="1" min="14" max="14"/>
    <col width="32.6640625" customWidth="1" min="15" max="16"/>
    <col width="17.6640625" bestFit="1" customWidth="1" min="17" max="17"/>
    <col width="29.88671875" customWidth="1" min="18" max="18"/>
    <col width="13.6640625" customWidth="1" style="7" min="19" max="19"/>
    <col width="13.6640625" customWidth="1" style="6" min="20" max="20"/>
    <col width="13.6640625" customWidth="1" min="21" max="23"/>
    <col width="1.6640625" customWidth="1" min="24" max="24"/>
    <col width="13.6640625" customWidth="1" style="9" min="25" max="27"/>
    <col width="1.6640625" customWidth="1" min="28" max="28"/>
    <col width="12" customWidth="1" style="9" min="29" max="30"/>
    <col hidden="1" width="10" customWidth="1" min="31" max="32"/>
    <col hidden="1" width="6.33203125" customWidth="1" min="33" max="33"/>
    <col hidden="1" width="10" customWidth="1" min="34" max="35"/>
    <col hidden="1" width="6.33203125" customWidth="1" min="36" max="36"/>
    <col hidden="1" width="10" customWidth="1" min="37" max="38"/>
    <col hidden="1" width="6.33203125" customWidth="1" min="39" max="39"/>
  </cols>
  <sheetData>
    <row r="1" ht="15" customFormat="1" customHeight="1" s="4">
      <c r="A1" s="67" t="inlineStr">
        <is>
          <t>Projeto</t>
        </is>
      </c>
      <c r="B1" s="68" t="inlineStr">
        <is>
          <t>Data</t>
        </is>
      </c>
      <c r="C1" s="67" t="inlineStr">
        <is>
          <t>Request</t>
        </is>
      </c>
      <c r="D1" s="67" t="inlineStr">
        <is>
          <t>Task</t>
        </is>
      </c>
      <c r="E1" s="15" t="inlineStr">
        <is>
          <t>Prioridade</t>
        </is>
      </c>
      <c r="F1" s="69" t="inlineStr">
        <is>
          <t>Retorno</t>
        </is>
      </c>
      <c r="G1" s="67" t="inlineStr">
        <is>
          <t>Módulo</t>
        </is>
      </c>
      <c r="H1" s="67" t="inlineStr">
        <is>
          <t>Tipo</t>
        </is>
      </c>
      <c r="I1" s="67" t="inlineStr">
        <is>
          <t>Usuário Projeto</t>
        </is>
      </c>
      <c r="J1" s="67" t="inlineStr">
        <is>
          <t>PO</t>
        </is>
      </c>
      <c r="K1" s="67" t="inlineStr">
        <is>
          <t>UUID PO</t>
        </is>
      </c>
      <c r="L1" s="70" t="inlineStr">
        <is>
          <t>Recurso</t>
        </is>
      </c>
      <c r="M1" s="70" t="inlineStr">
        <is>
          <t>UUID Recurso</t>
        </is>
      </c>
      <c r="N1" s="67" t="inlineStr">
        <is>
          <t>Épico</t>
        </is>
      </c>
      <c r="O1" s="70" t="inlineStr">
        <is>
          <t>Estória</t>
        </is>
      </c>
      <c r="P1" s="67" t="inlineStr">
        <is>
          <t>Tarefa</t>
        </is>
      </c>
      <c r="Q1" s="67" t="inlineStr">
        <is>
          <t>Etapa</t>
        </is>
      </c>
      <c r="R1" s="15" t="inlineStr">
        <is>
          <t>US</t>
        </is>
      </c>
      <c r="S1" s="15" t="inlineStr">
        <is>
          <t>Horas</t>
        </is>
      </c>
      <c r="T1" s="15" t="inlineStr">
        <is>
          <t>Pontos</t>
        </is>
      </c>
      <c r="U1" s="15" t="inlineStr">
        <is>
          <t>TicketE</t>
        </is>
      </c>
      <c r="V1" s="15" t="inlineStr">
        <is>
          <t>TicketS</t>
        </is>
      </c>
      <c r="W1" s="15" t="inlineStr">
        <is>
          <t>TicketT</t>
        </is>
      </c>
      <c r="X1" s="71" t="inlineStr">
        <is>
          <t>Jira</t>
        </is>
      </c>
      <c r="Y1" s="2" t="n"/>
      <c r="Z1" s="2" t="n"/>
      <c r="AA1" s="2" t="n"/>
      <c r="AB1" s="81" t="n"/>
      <c r="AC1" s="16" t="inlineStr">
        <is>
          <t>Alocadas</t>
        </is>
      </c>
      <c r="AD1" s="16" t="inlineStr">
        <is>
          <t>Tipo</t>
        </is>
      </c>
      <c r="AE1" s="12">
        <f>Parâmetros!$J3</f>
        <v/>
      </c>
      <c r="AF1" s="12">
        <f>Parâmetros!$J4</f>
        <v/>
      </c>
      <c r="AG1" s="12">
        <f>Parâmetros!$J5</f>
        <v/>
      </c>
      <c r="AH1" s="12">
        <f>Parâmetros!$J3</f>
        <v/>
      </c>
      <c r="AI1" s="12">
        <f>Parâmetros!$J4</f>
        <v/>
      </c>
      <c r="AJ1" s="12">
        <f>Parâmetros!$J5</f>
        <v/>
      </c>
      <c r="AK1" s="12">
        <f>Parâmetros!$J3</f>
        <v/>
      </c>
      <c r="AL1" s="12">
        <f>Parâmetros!$J4</f>
        <v/>
      </c>
      <c r="AM1" s="12">
        <f>Parâmetros!$J5</f>
        <v/>
      </c>
    </row>
    <row r="2" ht="15" customFormat="1" customHeight="1" s="4">
      <c r="A2" s="17">
        <f>UPPER(LEFT(I2, 3))</f>
        <v/>
      </c>
      <c r="B2" s="18" t="inlineStr">
        <is>
          <t>2026-08-10</t>
        </is>
      </c>
      <c r="C2" s="19" t="n">
        <v>0</v>
      </c>
      <c r="D2" s="19" t="n">
        <v>0</v>
      </c>
      <c r="E2" s="20" t="n"/>
      <c r="F2" s="21" t="n">
        <v>0</v>
      </c>
      <c r="G2" s="19" t="inlineStr">
        <is>
          <t>INTERFACE</t>
        </is>
      </c>
      <c r="H2" s="19" t="inlineStr">
        <is>
          <t>ALTERAÇÃO</t>
        </is>
      </c>
      <c r="I2" s="22" t="inlineStr">
        <is>
          <t>ensemble@thyssenkruppelevadores.com.br</t>
        </is>
      </c>
      <c r="J2" s="23" t="inlineStr">
        <is>
          <t>Giovani Perotto Mesquita</t>
        </is>
      </c>
      <c r="K2" s="19">
        <f>_xlfn.XLOOKUP(Planilha!$J2,Tabela9[Pessoas],Tabela9[UUID Jira])</f>
        <v/>
      </c>
      <c r="L2" s="24" t="inlineStr">
        <is>
          <t>Alexandre Trindade Pereira</t>
        </is>
      </c>
      <c r="M2" s="19">
        <f>_xlfn.XLOOKUP(Planilha!$L2,Tabela9[Pessoas],Tabela9[UUID Jira])</f>
        <v/>
      </c>
      <c r="N2" s="19" t="inlineStr">
        <is>
          <t>Confeccionar logs para auditoria</t>
        </is>
      </c>
      <c r="O2" s="19" t="inlineStr">
        <is>
          <t>Confeccionar logs para auditoria</t>
        </is>
      </c>
      <c r="P2" s="19" t="inlineStr">
        <is>
          <t>Confeccionar logs para auditoria</t>
        </is>
      </c>
      <c r="Q2" s="19" t="inlineStr">
        <is>
          <t>Implementação</t>
        </is>
      </c>
      <c r="R2" s="19" t="inlineStr">
        <is>
          <t>Confeccionar logs para auditoria</t>
        </is>
      </c>
      <c r="S2" s="25" t="n">
        <v>10</v>
      </c>
      <c r="T2" s="26">
        <f>_xlfn.XLOOKUP(S2,Tabela4[Horas],Tabela4[Pontos],,1)</f>
        <v/>
      </c>
      <c r="U2" s="19" t="inlineStr">
        <is>
          <t>ENS-10640</t>
        </is>
      </c>
      <c r="V2" s="19" t="inlineStr">
        <is>
          <t>ENS-10723</t>
        </is>
      </c>
      <c r="W2" s="19" t="inlineStr">
        <is>
          <t>ENS-10724</t>
        </is>
      </c>
      <c r="X2" s="72" t="n"/>
      <c r="Y2" s="73">
        <f>HYPERLINK("https://tkebrasil.atlassian.net/browse/" &amp; U2,U2)</f>
        <v/>
      </c>
      <c r="Z2" s="73">
        <f>HYPERLINK("https://tkebrasil.atlassian.net/browse/" &amp; V2,V2)</f>
        <v/>
      </c>
      <c r="AA2" s="73">
        <f>HYPERLINK("https://tkebrasil.atlassian.net/browse/" &amp; W2,W2)</f>
        <v/>
      </c>
      <c r="AB2" s="72" t="n"/>
      <c r="AC2" s="27" t="inlineStr">
        <is>
          <t>X</t>
        </is>
      </c>
      <c r="AD2" s="27" t="inlineStr">
        <is>
          <t>CR</t>
        </is>
      </c>
      <c r="AE2" s="4">
        <f>IF($AD2=AE$1,$U2)</f>
        <v/>
      </c>
      <c r="AF2" s="4">
        <f>IF($AD2=AF$1,$U2)</f>
        <v/>
      </c>
      <c r="AG2" s="4">
        <f>IF($AD2=AG$1,$U2)</f>
        <v/>
      </c>
      <c r="AH2" s="4">
        <f>IF($AD2=AH$1,$V2)</f>
        <v/>
      </c>
      <c r="AI2" s="4">
        <f>IF($AD2=AI$1,$V2)</f>
        <v/>
      </c>
      <c r="AJ2" s="4">
        <f>IF($AD2=AJ$1,$V2)</f>
        <v/>
      </c>
      <c r="AK2" s="4">
        <f>IF($AD2=AK$1,$W2)</f>
        <v/>
      </c>
      <c r="AL2" s="4">
        <f>IF($AD2=AL$1,$W2)</f>
        <v/>
      </c>
      <c r="AM2" s="4">
        <f>IF($AD2=AM$1,$W2)</f>
        <v/>
      </c>
    </row>
    <row r="3" ht="15" customFormat="1" customHeight="1" s="4">
      <c r="A3" s="17">
        <f>UPPER(LEFT(I3, 3))</f>
        <v/>
      </c>
      <c r="B3" s="18" t="inlineStr">
        <is>
          <t>2026-08-10</t>
        </is>
      </c>
      <c r="C3" s="19" t="inlineStr">
        <is>
          <t>REQ0339905</t>
        </is>
      </c>
      <c r="D3" s="19" t="inlineStr">
        <is>
          <t>SCTASK0581534</t>
        </is>
      </c>
      <c r="E3" s="20" t="n"/>
      <c r="F3" s="21" t="n">
        <v>0</v>
      </c>
      <c r="G3" s="19" t="inlineStr">
        <is>
          <t>INTERFACE</t>
        </is>
      </c>
      <c r="H3" s="19" t="inlineStr">
        <is>
          <t>NOVO DESENVOLVIMENTO</t>
        </is>
      </c>
      <c r="I3" s="22" t="inlineStr">
        <is>
          <t>ensemble@thyssenkruppelevadores.com.br</t>
        </is>
      </c>
      <c r="J3" s="23" t="inlineStr">
        <is>
          <t>Giovani Perotto Mesquita</t>
        </is>
      </c>
      <c r="K3" s="19">
        <f>_xlfn.XLOOKUP(Planilha!$J3,Tabela9[Pessoas],Tabela9[UUID Jira])</f>
        <v/>
      </c>
      <c r="L3" s="24" t="inlineStr">
        <is>
          <t>Tanise Sarmento</t>
        </is>
      </c>
      <c r="M3" s="19">
        <f>_xlfn.XLOOKUP(Planilha!$L3,Tabela9[Pessoas],Tabela9[UUID Jira])</f>
        <v/>
      </c>
      <c r="N3" s="19" t="inlineStr">
        <is>
          <t>PO - Menus Intec</t>
        </is>
      </c>
      <c r="O3" s="19" t="inlineStr">
        <is>
          <t>PO - Menus Intec</t>
        </is>
      </c>
      <c r="P3" s="19" t="inlineStr">
        <is>
          <t>PO - Menus Intec</t>
        </is>
      </c>
      <c r="Q3" s="19" t="inlineStr">
        <is>
          <t>Implementação</t>
        </is>
      </c>
      <c r="R3" s="19" t="inlineStr">
        <is>
          <t>PO - Menus Intec</t>
        </is>
      </c>
      <c r="S3" s="25" t="n">
        <v>1</v>
      </c>
      <c r="T3" s="26">
        <f>_xlfn.XLOOKUP(S3,Tabela4[Horas],Tabela4[Pontos],,1)</f>
        <v/>
      </c>
      <c r="U3" s="19" t="inlineStr">
        <is>
          <t>ENS-10725</t>
        </is>
      </c>
      <c r="V3" s="19" t="inlineStr">
        <is>
          <t>ENS-10726</t>
        </is>
      </c>
      <c r="W3" s="19" t="inlineStr">
        <is>
          <t>ENS-10727</t>
        </is>
      </c>
      <c r="X3" s="72" t="n"/>
      <c r="Y3" s="73">
        <f>HYPERLINK("https://tkebrasil.atlassian.net/browse/" &amp; U3,U3)</f>
        <v/>
      </c>
      <c r="Z3" s="73">
        <f>HYPERLINK("https://tkebrasil.atlassian.net/browse/" &amp; V3,V3)</f>
        <v/>
      </c>
      <c r="AA3" s="73">
        <f>HYPERLINK("https://tkebrasil.atlassian.net/browse/" &amp; W3,W3)</f>
        <v/>
      </c>
      <c r="AB3" s="72" t="n"/>
      <c r="AC3" s="27" t="inlineStr">
        <is>
          <t>X</t>
        </is>
      </c>
      <c r="AD3" s="27" t="inlineStr">
        <is>
          <t>MP</t>
        </is>
      </c>
      <c r="AE3" s="4">
        <f>IF($AD3=AE$1,$U3)</f>
        <v/>
      </c>
      <c r="AF3" s="4">
        <f>IF($AD3=AF$1,$U3)</f>
        <v/>
      </c>
      <c r="AG3" s="4">
        <f>IF($AD3=AG$1,$U3)</f>
        <v/>
      </c>
      <c r="AH3" s="4">
        <f>IF($AD3=AH$1,$V3)</f>
        <v/>
      </c>
      <c r="AI3" s="4">
        <f>IF($AD3=AI$1,$V3)</f>
        <v/>
      </c>
      <c r="AJ3" s="4">
        <f>IF($AD3=AJ$1,$V3)</f>
        <v/>
      </c>
      <c r="AK3" s="4">
        <f>IF($AD3=AK$1,$W3)</f>
        <v/>
      </c>
      <c r="AL3" s="4">
        <f>IF($AD3=AL$1,$W3)</f>
        <v/>
      </c>
      <c r="AM3" s="4">
        <f>IF($AD3=AM$1,$W3)</f>
        <v/>
      </c>
    </row>
    <row r="4" ht="15" customFormat="1" customHeight="1" s="4">
      <c r="A4" s="28">
        <f>UPPER(LEFT(I4, 3))</f>
        <v/>
      </c>
      <c r="B4" s="29" t="inlineStr">
        <is>
          <t>2026-08-10</t>
        </is>
      </c>
      <c r="C4" s="11" t="n">
        <v>0</v>
      </c>
      <c r="D4" s="11" t="n">
        <v>0</v>
      </c>
      <c r="E4" s="30" t="n"/>
      <c r="F4" s="31" t="n">
        <v>0</v>
      </c>
      <c r="G4" s="11" t="inlineStr">
        <is>
          <t>INTERFACE</t>
        </is>
      </c>
      <c r="H4" s="11" t="inlineStr">
        <is>
          <t>ALTERAÇÃO</t>
        </is>
      </c>
      <c r="I4" s="32" t="inlineStr">
        <is>
          <t>ensemble@thyssenkruppelevadores.com.br</t>
        </is>
      </c>
      <c r="J4" s="33" t="inlineStr">
        <is>
          <t>Giovani Perotto Mesquita</t>
        </is>
      </c>
      <c r="K4" s="11">
        <f>_xlfn.XLOOKUP(Planilha!$J4,Tabela9[Pessoas],Tabela9[UUID Jira])</f>
        <v/>
      </c>
      <c r="L4" s="11" t="inlineStr">
        <is>
          <t>Luis Henrique Petkovicz</t>
        </is>
      </c>
      <c r="M4" s="11">
        <f>_xlfn.XLOOKUP(Planilha!$L4,Tabela9[Pessoas],Tabela9[UUID Jira])</f>
        <v/>
      </c>
      <c r="N4" s="11" t="inlineStr">
        <is>
          <t>Atividades Administrativas</t>
        </is>
      </c>
      <c r="O4" s="11" t="inlineStr">
        <is>
          <t>Atividades Administrativas</t>
        </is>
      </c>
      <c r="P4" s="11" t="inlineStr">
        <is>
          <t>Atividades Administrativas</t>
        </is>
      </c>
      <c r="Q4" s="11" t="inlineStr">
        <is>
          <t>Implementação</t>
        </is>
      </c>
      <c r="R4" s="11" t="inlineStr">
        <is>
          <t>Atividades Administrativas</t>
        </is>
      </c>
      <c r="S4" s="10" t="n">
        <v>10</v>
      </c>
      <c r="T4" s="11">
        <f>_xlfn.XLOOKUP(S4,Tabela4[Horas],Tabela4[Pontos],,1)</f>
        <v/>
      </c>
      <c r="U4" s="11" t="inlineStr">
        <is>
          <t>ENS-8159</t>
        </is>
      </c>
      <c r="V4" s="11" t="inlineStr">
        <is>
          <t>ENS-10728</t>
        </is>
      </c>
      <c r="W4" s="11" t="inlineStr">
        <is>
          <t>ENS-10729</t>
        </is>
      </c>
      <c r="X4" s="72" t="n"/>
      <c r="Y4" s="44">
        <f>HYPERLINK("https://tkebrasil.atlassian.net/browse/" &amp; U4,U4)</f>
        <v/>
      </c>
      <c r="Z4" s="44">
        <f>HYPERLINK("https://tkebrasil.atlassian.net/browse/" &amp; V4,V4)</f>
        <v/>
      </c>
      <c r="AA4" s="44">
        <f>HYPERLINK("https://tkebrasil.atlassian.net/browse/" &amp; W4,W4)</f>
        <v/>
      </c>
      <c r="AB4" s="72" t="n"/>
      <c r="AC4" s="35" t="inlineStr">
        <is>
          <t>X</t>
        </is>
      </c>
      <c r="AD4" s="35" t="inlineStr">
        <is>
          <t>BL</t>
        </is>
      </c>
      <c r="AE4" s="4">
        <f>IF($AD4=AE$1,$U4)</f>
        <v/>
      </c>
      <c r="AF4" s="4">
        <f>IF($AD4=AF$1,$U4)</f>
        <v/>
      </c>
      <c r="AG4" s="4">
        <f>IF($AD4=AG$1,$U4)</f>
        <v/>
      </c>
      <c r="AH4" s="4">
        <f>IF($AD4=AH$1,$V4)</f>
        <v/>
      </c>
      <c r="AI4" s="4">
        <f>IF($AD4=AI$1,$V4)</f>
        <v/>
      </c>
      <c r="AJ4" s="4">
        <f>IF($AD4=AJ$1,$V4)</f>
        <v/>
      </c>
      <c r="AK4" s="4">
        <f>IF($AD4=AK$1,$W4)</f>
        <v/>
      </c>
      <c r="AL4" s="4">
        <f>IF($AD4=AL$1,$W4)</f>
        <v/>
      </c>
      <c r="AM4" s="4">
        <f>IF($AD4=AM$1,$W4)</f>
        <v/>
      </c>
    </row>
    <row r="5" ht="15" customHeight="1">
      <c r="A5" s="28">
        <f>UPPER(LEFT(I5, 3))</f>
        <v/>
      </c>
      <c r="B5" s="29" t="inlineStr">
        <is>
          <t>2026-08-10</t>
        </is>
      </c>
      <c r="C5" s="11" t="n">
        <v>0</v>
      </c>
      <c r="D5" s="11" t="n">
        <v>0</v>
      </c>
      <c r="E5" s="36" t="n"/>
      <c r="F5" s="36" t="n">
        <v>0</v>
      </c>
      <c r="G5" s="11" t="inlineStr">
        <is>
          <t>INTERFACE</t>
        </is>
      </c>
      <c r="H5" s="33" t="inlineStr">
        <is>
          <t>ALTERAÇÃO</t>
        </is>
      </c>
      <c r="I5" s="32" t="inlineStr">
        <is>
          <t>ensemble@thyssenkruppelevadores.com.br</t>
        </is>
      </c>
      <c r="J5" s="33" t="inlineStr">
        <is>
          <t>Giovani Perotto Mesquita</t>
        </is>
      </c>
      <c r="K5" s="11">
        <f>_xlfn.XLOOKUP(Planilha!$J5,Tabela9[Pessoas],Tabela9[UUID Jira])</f>
        <v/>
      </c>
      <c r="L5" s="33" t="inlineStr">
        <is>
          <t>Luis Henrique Petkovicz</t>
        </is>
      </c>
      <c r="M5" s="11">
        <f>_xlfn.XLOOKUP(Planilha!$L5,Tabela9[Pessoas],Tabela9[UUID Jira])</f>
        <v/>
      </c>
      <c r="N5" s="11" t="inlineStr">
        <is>
          <t>Automatizar script de limpeza de Logs XV</t>
        </is>
      </c>
      <c r="O5" s="11" t="inlineStr">
        <is>
          <t>Automatizar script de limpeza de Logs XV</t>
        </is>
      </c>
      <c r="P5" s="11" t="inlineStr">
        <is>
          <t>Automatizar script de limpeza de Logs XV</t>
        </is>
      </c>
      <c r="Q5" s="11" t="inlineStr">
        <is>
          <t>Implementação</t>
        </is>
      </c>
      <c r="R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5" s="34" t="n">
        <v>4</v>
      </c>
      <c r="T5" s="11">
        <f>_xlfn.XLOOKUP(S5,Tabela4[Horas],Tabela4[Pontos],,1)</f>
        <v/>
      </c>
      <c r="U5" s="11" t="inlineStr">
        <is>
          <t>ENS-9017</t>
        </is>
      </c>
      <c r="V5" s="11" t="inlineStr">
        <is>
          <t>ENS-10730</t>
        </is>
      </c>
      <c r="W5" s="11" t="inlineStr">
        <is>
          <t>ENS-10731</t>
        </is>
      </c>
      <c r="X5" s="72" t="n"/>
      <c r="Y5" s="44">
        <f>HYPERLINK("https://tkebrasil.atlassian.net/browse/" &amp; U5,U5)</f>
        <v/>
      </c>
      <c r="Z5" s="44">
        <f>HYPERLINK("https://tkebrasil.atlassian.net/browse/" &amp; V5,V5)</f>
        <v/>
      </c>
      <c r="AA5" s="44">
        <f>HYPERLINK("https://tkebrasil.atlassian.net/browse/" &amp; W5,W5)</f>
        <v/>
      </c>
      <c r="AB5" s="43" t="n"/>
      <c r="AC5" s="38" t="inlineStr">
        <is>
          <t>X</t>
        </is>
      </c>
      <c r="AD5" s="38" t="inlineStr">
        <is>
          <t>BL</t>
        </is>
      </c>
      <c r="AE5" s="4">
        <f>IF($AD5=AE$1,$U5)</f>
        <v/>
      </c>
      <c r="AF5" s="4">
        <f>IF($AD5=AF$1,$U5)</f>
        <v/>
      </c>
      <c r="AG5" s="4">
        <f>IF($AD5=AG$1,$U5)</f>
        <v/>
      </c>
      <c r="AH5" s="4">
        <f>IF($AD5=AH$1,$V5)</f>
        <v/>
      </c>
      <c r="AI5" s="4">
        <f>IF($AD5=AI$1,$V5)</f>
        <v/>
      </c>
      <c r="AJ5" s="4">
        <f>IF($AD5=AJ$1,$V5)</f>
        <v/>
      </c>
      <c r="AK5" s="4">
        <f>IF($AD5=AK$1,$W5)</f>
        <v/>
      </c>
      <c r="AL5" s="4">
        <f>IF($AD5=AL$1,$W5)</f>
        <v/>
      </c>
      <c r="AM5" s="4">
        <f>IF($AD5=AM$1,$W5)</f>
        <v/>
      </c>
    </row>
    <row r="6" ht="15" customHeight="1">
      <c r="A6" s="28">
        <f>UPPER(LEFT(I6, 3))</f>
        <v/>
      </c>
      <c r="B6" s="29" t="inlineStr">
        <is>
          <t>2026-08-10</t>
        </is>
      </c>
      <c r="C6" s="28" t="inlineStr">
        <is>
          <t>REQ0377661</t>
        </is>
      </c>
      <c r="D6" s="11" t="inlineStr">
        <is>
          <t>SCTASK0579990</t>
        </is>
      </c>
      <c r="E6" s="36" t="n"/>
      <c r="F6" s="36" t="n">
        <v>0</v>
      </c>
      <c r="G6" s="11" t="inlineStr">
        <is>
          <t>INTERFACE</t>
        </is>
      </c>
      <c r="H6" s="33" t="inlineStr">
        <is>
          <t>NOVO DESENVOLVIMENTO</t>
        </is>
      </c>
      <c r="I6" s="32" t="inlineStr">
        <is>
          <t>ensemble@thyssenkruppelevadores.com.br</t>
        </is>
      </c>
      <c r="J6" s="33" t="inlineStr">
        <is>
          <t>Giovani Perotto Mesquita</t>
        </is>
      </c>
      <c r="K6" s="11">
        <f>_xlfn.XLOOKUP(Planilha!$J6,Tabela9[Pessoas],Tabela9[UUID Jira])</f>
        <v/>
      </c>
      <c r="L6" s="33" t="inlineStr">
        <is>
          <t>Pablo Rocha</t>
        </is>
      </c>
      <c r="M6" s="11">
        <f>_xlfn.XLOOKUP(Planilha!$L6,Tabela9[Pessoas],Tabela9[UUID Jira])</f>
        <v/>
      </c>
      <c r="N6" s="11" t="inlineStr">
        <is>
          <t xml:space="preserve"> Integração de Margens entre GUS e E‑Sales</t>
        </is>
      </c>
      <c r="O6" s="11" t="inlineStr">
        <is>
          <t xml:space="preserve"> Integração de Margens entre GUS e E‑Sales</t>
        </is>
      </c>
      <c r="P6" s="11" t="inlineStr">
        <is>
          <t xml:space="preserve"> Integração de Margens entre GUS e E‑Sales</t>
        </is>
      </c>
      <c r="Q6" s="33" t="inlineStr">
        <is>
          <t>Implementação</t>
        </is>
      </c>
      <c r="R6" s="39" t="inlineStr">
        <is>
          <t>🌐 ÉPICO – Integração de Margens entre GUS e E‑Sales
🏷 Título do Épico
Integração das Margens com e sem Desconto entre GUS e E‑Sales para Suporte ao Processo Comercial
🧾 Descrição Geral
Este épico tem como objetivo estabelecer uma nova  integração padronizada, confiável e automatizada entre os sistemas GUS e E‑Sales, permitindo o trânsito de informações de margem com desconto e margem sem desconto.
A iniciativa busca eliminar atividades manuais, reduzir inconsistências, aumentar a velocidade das operações comerciais e aprimorar a tomada de decisão baseada em dados.
PO
Bruno Fuentes (Zallpy)
Tiago Fogaça (PO)
Victor Augusto Santos Marinho (Zallpy)
🎯 Objetivo Estratégico
Garantir que o processo comercial opere com informações atualizadas, consistentes e rastreáveis.
Apoiar decisões de precificação e propostas comerciais com dados íntegros.
Reduzir riscos operacionais e retrabalho decorrentes de processos manuais.
Aumentar eficiência e performance dos times comercial e financeiro.
📌 Escopo do Épico
Inclui:
Construção de interfaces de envio das margens com e sem desconto do GUS para o E‑Sales.
Padronização de layouts, validações e regras de negócio.
Implementação de logs, rastreabilidade, controle de erros e tratamento de rejeições.
Testes funcionais, integrados, regressivos e de migração.
Não inclui:
Alterações no cálculo das margens.
Modificações em regras de negócio internas do GUS ou do E‑Sales.
Criação de dashboards ou relatórios derivados.
🗂 User Stories Associadas
US – Enviar Margem com Desconto do GUS para o E‑Sales
US – Enviar Margem sem Desconto do GUS para o E‑Sales
(As histórias permanecem independentes para entrega incremental, mas agrupadas sob o mesmo objetivo macro.)
🧑‍💼 Stakeholders Envolvidos
Área Comercial
Área Financeira
Equipe de Produto (IRIS ESB)
Time responsável pelo GUS
Time responsável pelo E‑Sales
Time de Arquitetura e Governança de Integrações
QA / Homologação
🚀 Benefícios Esperados
Redução de erros manuais no processo de pricing.
Aumento da confiabilidade das informações de margem.
Otimização das operações comerciais (tempo de cotação).
Aumento da precisão nas projeções financeiras e análises de margem.
Melhor experiência para os usuários das áreas comercial e financeira.
🔄 Critérios de Aceitação do Épico
O épico será considerado concluído quando:
Ambas as interfaces (com e sem desconto) estiverem implementadas, testadas e homologadas.
Processos de envio, rejeição, reprocessamento e logs estiverem implementados.
Todos os ambientes (DEV, TQA e PRD) estiverem configurados e validados.
Toda documentação funcional e técnica tiver sido atualizada.
O time comercial confirmar que os dados estão disponíveis e íntegros no E‑Sales.
🧭 Cutover do Épico
Comunicação às áreas usuárias sobre os novos fluxos.
Treinamento rápido sobre leitura e impacto das margens no E‑Sales.
Execução de testes fim a fim antes do go‑live.
Reprocessamento inicial das margens para garantir baseline consistente.
Monitoramento reforçado nas primeiras 72 horas pós-implantação.
📈 GUT Score do Épico
Gravidade: 8
Urgência: 7
Tendência: 8
Total: 448 (Alta Prioridade Estratégica)</t>
        </is>
      </c>
      <c r="S6" s="34" t="n">
        <v>2</v>
      </c>
      <c r="T6" s="11">
        <f>_xlfn.XLOOKUP(S6,Tabela4[Horas],Tabela4[Pontos],,1)</f>
        <v/>
      </c>
      <c r="U6" s="11" t="inlineStr">
        <is>
          <t>ENS-8908</t>
        </is>
      </c>
      <c r="V6" s="11" t="inlineStr">
        <is>
          <t>ENS-10732</t>
        </is>
      </c>
      <c r="W6" s="11" t="inlineStr">
        <is>
          <t>ENS-10733</t>
        </is>
      </c>
      <c r="X6" s="72" t="n"/>
      <c r="Y6" s="44">
        <f>HYPERLINK("https://tkebrasil.atlassian.net/browse/" &amp; U6,U6)</f>
        <v/>
      </c>
      <c r="Z6" s="44">
        <f>HYPERLINK("https://tkebrasil.atlassian.net/browse/" &amp; V6,V6)</f>
        <v/>
      </c>
      <c r="AA6" s="44">
        <f>HYPERLINK("https://tkebrasil.atlassian.net/browse/" &amp; W6,W6)</f>
        <v/>
      </c>
      <c r="AB6" s="43" t="n"/>
      <c r="AC6" s="38" t="inlineStr">
        <is>
          <t>X</t>
        </is>
      </c>
      <c r="AD6" s="38" t="inlineStr">
        <is>
          <t>BL</t>
        </is>
      </c>
      <c r="AE6" s="4">
        <f>IF($AD6=AE$1,$U6)</f>
        <v/>
      </c>
      <c r="AF6" s="4">
        <f>IF($AD6=AF$1,$U6)</f>
        <v/>
      </c>
      <c r="AG6" s="4">
        <f>IF($AD6=AG$1,$U6)</f>
        <v/>
      </c>
      <c r="AH6" s="4">
        <f>IF($AD6=AH$1,$V6)</f>
        <v/>
      </c>
      <c r="AI6" s="4">
        <f>IF($AD6=AI$1,$V6)</f>
        <v/>
      </c>
      <c r="AJ6" s="4">
        <f>IF($AD6=AJ$1,$V6)</f>
        <v/>
      </c>
      <c r="AK6" s="4">
        <f>IF($AD6=AK$1,$W6)</f>
        <v/>
      </c>
      <c r="AL6" s="4">
        <f>IF($AD6=AL$1,$W6)</f>
        <v/>
      </c>
      <c r="AM6" s="4">
        <f>IF($AD6=AM$1,$W6)</f>
        <v/>
      </c>
    </row>
    <row r="7" ht="15" customHeight="1">
      <c r="A7" s="28">
        <f>UPPER(LEFT(I7, 3))</f>
        <v/>
      </c>
      <c r="B7" s="29" t="inlineStr">
        <is>
          <t>2026-08-10</t>
        </is>
      </c>
      <c r="C7" s="11" t="n">
        <v>0</v>
      </c>
      <c r="D7" s="11" t="n">
        <v>0</v>
      </c>
      <c r="E7" s="11" t="n"/>
      <c r="F7" s="11" t="n">
        <v>0</v>
      </c>
      <c r="G7" s="11" t="inlineStr">
        <is>
          <t>INTERFACE</t>
        </is>
      </c>
      <c r="H7" s="33" t="inlineStr">
        <is>
          <t>NOVO DESENVOLVIMENTO</t>
        </is>
      </c>
      <c r="I7" s="32" t="inlineStr">
        <is>
          <t>ensemble@thyssenkruppelevadores.com.br</t>
        </is>
      </c>
      <c r="J7" s="33" t="inlineStr">
        <is>
          <t>Giovani Perotto Mesquita</t>
        </is>
      </c>
      <c r="K7" s="11">
        <f>_xlfn.XLOOKUP(Planilha!$J7,Tabela9[Pessoas],Tabela9[UUID Jira])</f>
        <v/>
      </c>
      <c r="L7" s="33" t="inlineStr">
        <is>
          <t>Luis Henrique Petkovicz</t>
        </is>
      </c>
      <c r="M7" s="11">
        <f>_xlfn.XLOOKUP(Planilha!$L7,Tabela9[Pessoas],Tabela9[UUID Jira])</f>
        <v/>
      </c>
      <c r="N7" s="11" t="inlineStr">
        <is>
          <t>Alterar logs do IRIS para tabela federada</t>
        </is>
      </c>
      <c r="O7" s="11" t="inlineStr">
        <is>
          <t>Alterar logs do IRIS para tabela federada 1</t>
        </is>
      </c>
      <c r="P7" s="11" t="inlineStr">
        <is>
          <t>Alterar logs do IRIS para tabela federada 1</t>
        </is>
      </c>
      <c r="Q7" s="11" t="inlineStr">
        <is>
          <t>Implementação</t>
        </is>
      </c>
      <c r="R7" s="37"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7" s="10" t="n">
        <v>8</v>
      </c>
      <c r="T7" s="11">
        <f>_xlfn.XLOOKUP(S7,Tabela4[Horas],Tabela4[Pontos],,1)</f>
        <v/>
      </c>
      <c r="U7" s="11" t="inlineStr">
        <is>
          <t>ENS-9944</t>
        </is>
      </c>
      <c r="V7" s="11" t="inlineStr">
        <is>
          <t>ENS-10734</t>
        </is>
      </c>
      <c r="W7" s="11" t="inlineStr">
        <is>
          <t>ENS-10735</t>
        </is>
      </c>
      <c r="X7" s="43" t="n"/>
      <c r="Y7" s="44">
        <f>HYPERLINK("https://tkebrasil.atlassian.net/browse/" &amp; U7,U7)</f>
        <v/>
      </c>
      <c r="Z7" s="44">
        <f>HYPERLINK("https://tkebrasil.atlassian.net/browse/" &amp; V7,V7)</f>
        <v/>
      </c>
      <c r="AA7" s="44">
        <f>HYPERLINK("https://tkebrasil.atlassian.net/browse/" &amp; W7,W7)</f>
        <v/>
      </c>
      <c r="AB7" s="43" t="n"/>
      <c r="AC7" s="38" t="inlineStr">
        <is>
          <t>X</t>
        </is>
      </c>
      <c r="AD7" s="38" t="inlineStr">
        <is>
          <t>BL</t>
        </is>
      </c>
      <c r="AE7" s="4">
        <f>IF($AD7=AE$1,$U7)</f>
        <v/>
      </c>
      <c r="AF7" s="4">
        <f>IF($AD7=AF$1,$U7)</f>
        <v/>
      </c>
      <c r="AG7" s="4">
        <f>IF($AD7=AG$1,$U7)</f>
        <v/>
      </c>
      <c r="AH7" s="4">
        <f>IF($AD7=AH$1,$V7)</f>
        <v/>
      </c>
      <c r="AI7" s="4">
        <f>IF($AD7=AI$1,$V7)</f>
        <v/>
      </c>
      <c r="AJ7" s="4">
        <f>IF($AD7=AJ$1,$V7)</f>
        <v/>
      </c>
      <c r="AK7" s="4">
        <f>IF($AD7=AK$1,$W7)</f>
        <v/>
      </c>
      <c r="AL7" s="4">
        <f>IF($AD7=AL$1,$W7)</f>
        <v/>
      </c>
      <c r="AM7" s="4">
        <f>IF($AD7=AM$1,$W7)</f>
        <v/>
      </c>
    </row>
    <row r="8" ht="15" customHeight="1">
      <c r="A8" s="28">
        <f>UPPER(LEFT(I8, 3))</f>
        <v/>
      </c>
      <c r="B8" s="29" t="inlineStr">
        <is>
          <t>2026-08-10</t>
        </is>
      </c>
      <c r="C8" s="11" t="n">
        <v>0</v>
      </c>
      <c r="D8" s="11" t="n">
        <v>0</v>
      </c>
      <c r="E8" s="11" t="n"/>
      <c r="F8" s="11" t="n">
        <v>0</v>
      </c>
      <c r="G8" s="11" t="inlineStr">
        <is>
          <t>INTERFACE</t>
        </is>
      </c>
      <c r="H8" s="33" t="inlineStr">
        <is>
          <t>NOVO DESENVOLVIMENTO</t>
        </is>
      </c>
      <c r="I8" s="32" t="inlineStr">
        <is>
          <t>ensemble@thyssenkruppelevadores.com.br</t>
        </is>
      </c>
      <c r="J8" s="33" t="inlineStr">
        <is>
          <t>Giovani Perotto Mesquita</t>
        </is>
      </c>
      <c r="K8" s="11">
        <f>_xlfn.XLOOKUP(Planilha!$J8,Tabela9[Pessoas],Tabela9[UUID Jira])</f>
        <v/>
      </c>
      <c r="L8" s="33" t="inlineStr">
        <is>
          <t>Regina Albanus</t>
        </is>
      </c>
      <c r="M8" s="11">
        <f>_xlfn.XLOOKUP(Planilha!$L8,Tabela9[Pessoas],Tabela9[UUID Jira])</f>
        <v/>
      </c>
      <c r="N8" s="11" t="inlineStr">
        <is>
          <t>Alterar logs do IRIS para tabela federada</t>
        </is>
      </c>
      <c r="O8" s="11" t="inlineStr">
        <is>
          <t>Alterar logs do IRIS para tabela federada 2</t>
        </is>
      </c>
      <c r="P8" s="11" t="inlineStr">
        <is>
          <t>Alterar logs do IRIS para tabela federada 2</t>
        </is>
      </c>
      <c r="Q8" s="11" t="inlineStr">
        <is>
          <t>Implementação</t>
        </is>
      </c>
      <c r="R8" s="37"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8" s="10" t="n">
        <v>2</v>
      </c>
      <c r="T8" s="11">
        <f>_xlfn.XLOOKUP(S8,Tabela4[Horas],Tabela4[Pontos],,1)</f>
        <v/>
      </c>
      <c r="U8" s="11" t="inlineStr">
        <is>
          <t>ENS-9944</t>
        </is>
      </c>
      <c r="V8" s="11" t="inlineStr">
        <is>
          <t>ENS-10736</t>
        </is>
      </c>
      <c r="W8" s="11" t="inlineStr">
        <is>
          <t>ENS-10737</t>
        </is>
      </c>
      <c r="X8" s="43" t="n"/>
      <c r="Y8" s="44">
        <f>HYPERLINK("https://tkebrasil.atlassian.net/browse/" &amp; U8,U8)</f>
        <v/>
      </c>
      <c r="Z8" s="44">
        <f>HYPERLINK("https://tkebrasil.atlassian.net/browse/" &amp; V8,V8)</f>
        <v/>
      </c>
      <c r="AA8" s="44">
        <f>HYPERLINK("https://tkebrasil.atlassian.net/browse/" &amp; W8,W8)</f>
        <v/>
      </c>
      <c r="AB8" s="43" t="n"/>
      <c r="AC8" s="38" t="inlineStr">
        <is>
          <t>X</t>
        </is>
      </c>
      <c r="AD8" s="38" t="inlineStr">
        <is>
          <t>BL</t>
        </is>
      </c>
      <c r="AE8" s="4">
        <f>IF($AD8=AE$1,$U8)</f>
        <v/>
      </c>
      <c r="AF8" s="4">
        <f>IF($AD8=AF$1,$U8)</f>
        <v/>
      </c>
      <c r="AG8" s="4">
        <f>IF($AD8=AG$1,$U8)</f>
        <v/>
      </c>
      <c r="AH8" s="4">
        <f>IF($AD8=AH$1,$V8)</f>
        <v/>
      </c>
      <c r="AI8" s="4">
        <f>IF($AD8=AI$1,$V8)</f>
        <v/>
      </c>
      <c r="AJ8" s="4">
        <f>IF($AD8=AJ$1,$V8)</f>
        <v/>
      </c>
      <c r="AK8" s="4">
        <f>IF($AD8=AK$1,$W8)</f>
        <v/>
      </c>
      <c r="AL8" s="4">
        <f>IF($AD8=AL$1,$W8)</f>
        <v/>
      </c>
      <c r="AM8" s="4">
        <f>IF($AD8=AM$1,$W8)</f>
        <v/>
      </c>
    </row>
    <row r="9" ht="15" customHeight="1">
      <c r="A9" s="28">
        <f>UPPER(LEFT(I9, 3))</f>
        <v/>
      </c>
      <c r="B9" s="29" t="inlineStr">
        <is>
          <t>2026-08-10</t>
        </is>
      </c>
      <c r="C9" s="11" t="n">
        <v>0</v>
      </c>
      <c r="D9" s="11" t="n">
        <v>0</v>
      </c>
      <c r="E9" s="11" t="n"/>
      <c r="F9" s="11" t="n">
        <v>0</v>
      </c>
      <c r="G9" s="11" t="inlineStr">
        <is>
          <t>INTERFACE</t>
        </is>
      </c>
      <c r="H9" s="33" t="inlineStr">
        <is>
          <t>NOVO DESENVOLVIMENTO</t>
        </is>
      </c>
      <c r="I9" s="32" t="inlineStr">
        <is>
          <t>ensemble@thyssenkruppelevadores.com.br</t>
        </is>
      </c>
      <c r="J9" s="33" t="inlineStr">
        <is>
          <t>Giovani Perotto Mesquita</t>
        </is>
      </c>
      <c r="K9" s="11">
        <f>_xlfn.XLOOKUP(Planilha!$J9,Tabela9[Pessoas],Tabela9[UUID Jira])</f>
        <v/>
      </c>
      <c r="L9" s="33" t="inlineStr">
        <is>
          <t>Pablo Rocha</t>
        </is>
      </c>
      <c r="M9" s="11">
        <f>_xlfn.XLOOKUP(Planilha!$L9,Tabela9[Pessoas],Tabela9[UUID Jira])</f>
        <v/>
      </c>
      <c r="N9" s="11" t="inlineStr">
        <is>
          <t>Alterar logs do IRIS para tabela federada</t>
        </is>
      </c>
      <c r="O9" s="11" t="inlineStr">
        <is>
          <t>Alterar logs do IRIS para tabela federada 3</t>
        </is>
      </c>
      <c r="P9" s="11" t="inlineStr">
        <is>
          <t>Alterar logs do IRIS para tabela federada 3</t>
        </is>
      </c>
      <c r="Q9" s="11" t="inlineStr">
        <is>
          <t>Implementação</t>
        </is>
      </c>
      <c r="R9" s="37" t="inlineStr">
        <is>
          <t>✅ User Story 1 — Persistência Estruturada de Logs de Auditoria
🧾 Requisito Definido
Implementar mecanismo de persistência estruturada para logs de auditoria do middleware, garantindo rastreabilidade, governança operacional e suporte aos processos de ITSM (ITIL).
Os registros deverão contemplar, no mínimo, os seguintes atributos:
Status: classificação do registro conforme análise do AMS (Application Management Services), indicando o estado operacional, tratamento ou encaminhamento do evento;
UC – Caso de Uso: identificação do uso de caso ou fluxo de negócio associado ao registro, viabilizando rastreabilidade ponta a ponta para fins de auditoria e investigação;
Criticidade: nível de impacto do evento (baixa, média ou alta), suportando priorização operacional e gestão de incidentes;
Incidente/Requisição: referência ao incidente ou requisição registrada no sistema de ITSM, quando houver necessidade de abertura de ticket, assegurando integração com os processos de Incident e Request Management.
Essa persistência deverá permitir auditorias técnicas e funcionais, apoiar análises de causa raiz, além de atender requisitos de compliance, observabilidade e melhoria contínua do ambiente de integração.
🧑‍💼 Contato
Giovani Mesquita – Product Owner
AMS (Application Management Services)
Equipe de Middleware / Integração
Governança de TI / ITSM
📖 Título da User Story
Como Product Owner, quero que o middleware persista logs de auditoria de forma estruturada, para que seja possível garantir rastreabilidade, governança operacional e suporte aos processos de ITSM.
📊 Priorização
Alta
Justificativa:
Alto valor para compliance, auditoria e governança
Impacto direto na operação e no suporte (Incident/Request Management)
Necessário para análise de causa raiz e melhoria contínua
Dependência para processos operacionais e auditorias futuras
🔍 Processo Atual (AS IS)
Atualmente, o middleware não possui um mecanismo estruturado e persistente para registro de logs de auditoria, dificultando a rastreabilidade de eventos, investigações operacionais, auditorias técnicas e integração com processos de ITSM.
🚀 Processo Futuro (TO BE)
O middleware passará a registrar e persistir logs de auditoria de forma estruturada, contendo informações essenciais para análise operacional, auditoria e governança, permitindo integração com processos de Incident e Request Management.
🎯 Objetivo da Mudança
Garantir rastreabilidade ponta a ponta dos eventos do middleware
Apoiar auditorias técnicas e funcionais
Facilitar análises de causa raiz
Suportar compliance, observabilidade e melhoria contínua
Integrar os eventos do middleware aos processos de ITSM
❌ Fora de Escopo
Criação ou customização do sistema de ITSM
Dashboards analíticos ou relatórios avançados
Automação de abertura de tickets
Retenção histórica além do definido pelo middleware
✅ Critérios de Aceitação (BDD)
Cenário 1 – Persistência correta dos logs
Dado que um evento ocorre no middleware
Quando o log de auditoria é registrado
Então o registro deve ser persistido contendo Status, Caso de Uso, Criticidade e referência a Incidente/Requisição (quando aplicável)
Cenário 2 – Registro de criticidade
Dado um evento com impacto operacional
Quando o log é persistido
Então a criticidade deve ser registrada como baixa, média ou alta
Cenário 3 – Integração com ITSM
Dado que houve necessidade de abertura de ticket
Quando o log for persistido
Então o campo Incidente/Requisição deve conter a referência correspondente
🧪 Cenários de Teste de Validação
Pré-condições
Middleware em funcionamento
Mecanismo de persistência disponível
Passos
Gerar um evento no middleware
Informar Caso de Uso e Criticidade
Associar um ticket de Incidente/Requisição (quando aplicável)
Resultados Esperados
Log persistido corretamente
Campos preenchidos conforme definido
Registro disponível para auditoria e análise
❌ Cenários de Teste de Rejeição
Persistência do log sem Status
Persistência do log sem identificação do Caso de Uso
Registro de criticidade fora dos valores permitidos (baixa, média, alta)
Registro inconsistente entre evento e referência de Incidente/Requisição
🔄 Cenários de Teste de Regressão
Execução de fluxos existentes do middleware sem impacto de performance perceptível
Processamento normal das integrações após ativação da persistência de logs
Ausência de falhas ou indisponibilidade causada pelo novo mecanismo
🧭 Sugestão de Cutover
Comunicação às equipes de AMS e Governança sobre o novo padrão de logs
Validação em ambiente produtivo com eventos controlados
Monitoramento inicial pós-implantação
Disponibilização de evidências para auditoria</t>
        </is>
      </c>
      <c r="S9" s="10" t="n">
        <v>8</v>
      </c>
      <c r="T9" s="11">
        <f>_xlfn.XLOOKUP(S9,Tabela4[Horas],Tabela4[Pontos],,1)</f>
        <v/>
      </c>
      <c r="U9" s="11" t="inlineStr">
        <is>
          <t>ENS-9944</t>
        </is>
      </c>
      <c r="V9" s="11" t="inlineStr">
        <is>
          <t>ENS-10738</t>
        </is>
      </c>
      <c r="W9" s="11" t="inlineStr">
        <is>
          <t>ENS-10739</t>
        </is>
      </c>
      <c r="X9" s="43" t="n"/>
      <c r="Y9" s="44">
        <f>HYPERLINK("https://tkebrasil.atlassian.net/browse/" &amp; U9,U9)</f>
        <v/>
      </c>
      <c r="Z9" s="44">
        <f>HYPERLINK("https://tkebrasil.atlassian.net/browse/" &amp; V9,V9)</f>
        <v/>
      </c>
      <c r="AA9" s="44">
        <f>HYPERLINK("https://tkebrasil.atlassian.net/browse/" &amp; W9,W9)</f>
        <v/>
      </c>
      <c r="AB9" s="43" t="n"/>
      <c r="AC9" s="38" t="inlineStr">
        <is>
          <t>X</t>
        </is>
      </c>
      <c r="AD9" s="38" t="inlineStr">
        <is>
          <t>BL</t>
        </is>
      </c>
      <c r="AE9" s="4">
        <f>IF($AD9=AE$1,$U9)</f>
        <v/>
      </c>
      <c r="AF9" s="4">
        <f>IF($AD9=AF$1,$U9)</f>
        <v/>
      </c>
      <c r="AG9" s="4">
        <f>IF($AD9=AG$1,$U9)</f>
        <v/>
      </c>
      <c r="AH9" s="4">
        <f>IF($AD9=AH$1,$V9)</f>
        <v/>
      </c>
      <c r="AI9" s="4">
        <f>IF($AD9=AI$1,$V9)</f>
        <v/>
      </c>
      <c r="AJ9" s="4">
        <f>IF($AD9=AJ$1,$V9)</f>
        <v/>
      </c>
      <c r="AK9" s="4">
        <f>IF($AD9=AK$1,$W9)</f>
        <v/>
      </c>
      <c r="AL9" s="4">
        <f>IF($AD9=AL$1,$W9)</f>
        <v/>
      </c>
      <c r="AM9" s="4">
        <f>IF($AD9=AM$1,$W9)</f>
        <v/>
      </c>
    </row>
    <row r="10" ht="15" customHeight="1">
      <c r="A10" s="28">
        <f>UPPER(LEFT(I10, 3))</f>
        <v/>
      </c>
      <c r="B10" s="29" t="inlineStr">
        <is>
          <t>2026-08-10</t>
        </is>
      </c>
      <c r="C10" s="11" t="inlineStr">
        <is>
          <t>CR AP Summary</t>
        </is>
      </c>
      <c r="D10" s="11" t="inlineStr">
        <is>
          <t>CR AP Summary</t>
        </is>
      </c>
      <c r="E10" s="11" t="n"/>
      <c r="F10" s="11" t="n">
        <v>0</v>
      </c>
      <c r="G10" s="11" t="inlineStr">
        <is>
          <t>INTERFACE</t>
        </is>
      </c>
      <c r="H10" s="33" t="inlineStr">
        <is>
          <t>NOVO DESENVOLVIMENTO</t>
        </is>
      </c>
      <c r="I10" s="32" t="inlineStr">
        <is>
          <t>ensemble@thyssenkruppelevadores.com.br</t>
        </is>
      </c>
      <c r="J10" s="33" t="inlineStr">
        <is>
          <t>Giovani Perotto Mesquita</t>
        </is>
      </c>
      <c r="K10" s="11">
        <f>_xlfn.XLOOKUP(Planilha!$J10,Tabela9[Pessoas],Tabela9[UUID Jira])</f>
        <v/>
      </c>
      <c r="L10" s="33" t="inlineStr">
        <is>
          <t>Regina Albanus</t>
        </is>
      </c>
      <c r="M10" s="11">
        <f>_xlfn.XLOOKUP(Planilha!$L10,Tabela9[Pessoas],Tabela9[UUID Jira])</f>
        <v/>
      </c>
      <c r="N10" s="11" t="inlineStr">
        <is>
          <t>Alteração da interface Sincrona para Assincrona do AP Summary</t>
        </is>
      </c>
      <c r="O10" s="11" t="inlineStr">
        <is>
          <t>Alteração da interface Sincrona para Assincrona do AP Summary</t>
        </is>
      </c>
      <c r="P10" s="11" t="inlineStr">
        <is>
          <t>Alteração da interface Sincrona para Assincrona do AP Summary</t>
        </is>
      </c>
      <c r="Q10" s="33" t="inlineStr">
        <is>
          <t>Execução de Testes</t>
        </is>
      </c>
      <c r="R10" s="37" t="inlineStr">
        <is>
          <t>Conforme CR do projeto AP Summary</t>
        </is>
      </c>
      <c r="S10" s="10" t="n">
        <v>2</v>
      </c>
      <c r="T10" s="11">
        <f>_xlfn.XLOOKUP(S10,Tabela4[Horas],Tabela4[Pontos],,1)</f>
        <v/>
      </c>
      <c r="U10" s="11" t="inlineStr">
        <is>
          <t>ENS-9951</t>
        </is>
      </c>
      <c r="V10" s="11" t="inlineStr">
        <is>
          <t>ENS-10740</t>
        </is>
      </c>
      <c r="W10" s="11" t="inlineStr">
        <is>
          <t>ENS-10741</t>
        </is>
      </c>
      <c r="X10" s="43" t="n"/>
      <c r="Y10" s="44">
        <f>HYPERLINK("https://tkebrasil.atlassian.net/browse/" &amp; U10,U10)</f>
        <v/>
      </c>
      <c r="Z10" s="44">
        <f>HYPERLINK("https://tkebrasil.atlassian.net/browse/" &amp; V10,V10)</f>
        <v/>
      </c>
      <c r="AA10" s="44">
        <f>HYPERLINK("https://tkebrasil.atlassian.net/browse/" &amp; W10,W10)</f>
        <v/>
      </c>
      <c r="AB10" s="43" t="n"/>
      <c r="AC10" s="38" t="inlineStr">
        <is>
          <t>X</t>
        </is>
      </c>
      <c r="AD10" s="38" t="inlineStr">
        <is>
          <t>BL</t>
        </is>
      </c>
      <c r="AE10" s="4">
        <f>IF($AD10=AE$1,$U10)</f>
        <v/>
      </c>
      <c r="AF10" s="4">
        <f>IF($AD10=AF$1,$U10)</f>
        <v/>
      </c>
      <c r="AG10" s="4">
        <f>IF($AD10=AG$1,$U10)</f>
        <v/>
      </c>
      <c r="AH10" s="4">
        <f>IF($AD10=AH$1,$V10)</f>
        <v/>
      </c>
      <c r="AI10" s="4">
        <f>IF($AD10=AI$1,$V10)</f>
        <v/>
      </c>
      <c r="AJ10" s="4">
        <f>IF($AD10=AJ$1,$V10)</f>
        <v/>
      </c>
      <c r="AK10" s="4">
        <f>IF($AD10=AK$1,$W10)</f>
        <v/>
      </c>
      <c r="AL10" s="4">
        <f>IF($AD10=AL$1,$W10)</f>
        <v/>
      </c>
      <c r="AM10" s="4">
        <f>IF($AD10=AM$1,$W10)</f>
        <v/>
      </c>
    </row>
    <row r="11" ht="15" customHeight="1">
      <c r="A11" s="28">
        <f>UPPER(LEFT(I11, 3))</f>
        <v/>
      </c>
      <c r="B11" s="29" t="inlineStr">
        <is>
          <t>2026-08-10</t>
        </is>
      </c>
      <c r="C11" s="11" t="inlineStr">
        <is>
          <t>REQ0505088</t>
        </is>
      </c>
      <c r="D11" s="40" t="inlineStr">
        <is>
          <t>SCTASK0704281</t>
        </is>
      </c>
      <c r="E11" s="11" t="n"/>
      <c r="F11" s="11" t="n">
        <v>0</v>
      </c>
      <c r="G11" s="11" t="inlineStr">
        <is>
          <t>INTERFACE</t>
        </is>
      </c>
      <c r="H11" s="11" t="inlineStr">
        <is>
          <t>ALTERAÇÃO</t>
        </is>
      </c>
      <c r="I11" s="32" t="inlineStr">
        <is>
          <t>ensemble@thyssenkruppelevadores.com.br</t>
        </is>
      </c>
      <c r="J11" s="33" t="inlineStr">
        <is>
          <t>Giovani Perotto Mesquita</t>
        </is>
      </c>
      <c r="K11" s="11">
        <f>_xlfn.XLOOKUP(Planilha!$J11,Tabela9[Pessoas],Tabela9[UUID Jira])</f>
        <v/>
      </c>
      <c r="L11" s="33" t="inlineStr">
        <is>
          <t>Luiz Felipe Brandão da Silva</t>
        </is>
      </c>
      <c r="M11" s="11">
        <f>_xlfn.XLOOKUP(Planilha!$L11,Tabela9[Pessoas],Tabela9[UUID Jira])</f>
        <v/>
      </c>
      <c r="N11" s="11" t="inlineStr">
        <is>
          <t>Alterar na interface PosicaoFinanceira.ContratosContatos para que tivermos erro interno do IRIS, mandar uma mensagem</t>
        </is>
      </c>
      <c r="O11" s="11" t="inlineStr">
        <is>
          <t>Alterar na interface PosicaoFinanceira.ContratosContatos para que tivermos erro interno do IRIS, mandar uma mensagem</t>
        </is>
      </c>
      <c r="P11" s="11" t="inlineStr">
        <is>
          <t>Alterar na interface PosicaoFinanceira.ContratosContatos para que tivermos erro interno do IRIS, mandar uma mensagem</t>
        </is>
      </c>
      <c r="Q11" s="33" t="inlineStr">
        <is>
          <t>Execução de Testes</t>
        </is>
      </c>
      <c r="R11" s="11" t="inlineStr">
        <is>
          <t>Alterar na interface PosicaoFinanceira.ContratosContatos para que tivermos erro interno do IRIS, mandar uma mensagem. PO - Marco Gross</t>
        </is>
      </c>
      <c r="S11" s="10" t="n">
        <v>2</v>
      </c>
      <c r="T11" s="11">
        <f>_xlfn.XLOOKUP(S11,Tabela4[Horas],Tabela4[Pontos],,1)</f>
        <v/>
      </c>
      <c r="U11" s="11" t="inlineStr">
        <is>
          <t>ENS-9954</t>
        </is>
      </c>
      <c r="V11" s="11" t="inlineStr">
        <is>
          <t>ENS-10742</t>
        </is>
      </c>
      <c r="W11" s="11" t="inlineStr">
        <is>
          <t>ENS-10743</t>
        </is>
      </c>
      <c r="X11" s="43" t="n"/>
      <c r="Y11" s="44">
        <f>HYPERLINK("https://tkebrasil.atlassian.net/browse/" &amp; U11,U11)</f>
        <v/>
      </c>
      <c r="Z11" s="44">
        <f>HYPERLINK("https://tkebrasil.atlassian.net/browse/" &amp; V11,V11)</f>
        <v/>
      </c>
      <c r="AA11" s="44">
        <f>HYPERLINK("https://tkebrasil.atlassian.net/browse/" &amp; W11,W11)</f>
        <v/>
      </c>
      <c r="AB11" s="43" t="n"/>
      <c r="AC11" s="38" t="inlineStr">
        <is>
          <t>X</t>
        </is>
      </c>
      <c r="AD11" s="38" t="inlineStr">
        <is>
          <t>BL</t>
        </is>
      </c>
      <c r="AE11" s="4">
        <f>IF($AD11=AE$1,$U11)</f>
        <v/>
      </c>
      <c r="AF11" s="4">
        <f>IF($AD11=AF$1,$U11)</f>
        <v/>
      </c>
      <c r="AG11" s="4">
        <f>IF($AD11=AG$1,$U11)</f>
        <v/>
      </c>
      <c r="AH11" s="4">
        <f>IF($AD11=AH$1,$V11)</f>
        <v/>
      </c>
      <c r="AI11" s="4">
        <f>IF($AD11=AI$1,$V11)</f>
        <v/>
      </c>
      <c r="AJ11" s="4">
        <f>IF($AD11=AJ$1,$V11)</f>
        <v/>
      </c>
      <c r="AK11" s="4">
        <f>IF($AD11=AK$1,$W11)</f>
        <v/>
      </c>
      <c r="AL11" s="4">
        <f>IF($AD11=AL$1,$W11)</f>
        <v/>
      </c>
      <c r="AM11" s="4">
        <f>IF($AD11=AM$1,$W11)</f>
        <v/>
      </c>
    </row>
    <row r="12" ht="15" customHeight="1">
      <c r="A12" s="28">
        <f>UPPER(LEFT(I12, 3))</f>
        <v/>
      </c>
      <c r="B12" s="29" t="inlineStr">
        <is>
          <t>2026-08-10</t>
        </is>
      </c>
      <c r="C12" s="28" t="inlineStr">
        <is>
          <t>REQ0396346</t>
        </is>
      </c>
      <c r="D12" s="11" t="inlineStr">
        <is>
          <t>SCTASK0592786</t>
        </is>
      </c>
      <c r="E12" s="36" t="n"/>
      <c r="F12" s="36" t="n">
        <v>0</v>
      </c>
      <c r="G12" s="11" t="inlineStr">
        <is>
          <t>INTERFACE</t>
        </is>
      </c>
      <c r="H12" s="33" t="inlineStr">
        <is>
          <t>ALTERAÇÃO</t>
        </is>
      </c>
      <c r="I12" s="32" t="inlineStr">
        <is>
          <t>ensemble@thyssenkruppelevadores.com.br</t>
        </is>
      </c>
      <c r="J12" s="33" t="inlineStr">
        <is>
          <t>Giovani Perotto Mesquita</t>
        </is>
      </c>
      <c r="K12" s="11">
        <f>_xlfn.XLOOKUP(Planilha!$J12,Tabela9[Pessoas],Tabela9[UUID Jira])</f>
        <v/>
      </c>
      <c r="L12" s="11" t="inlineStr">
        <is>
          <t>Pablo Rocha</t>
        </is>
      </c>
      <c r="M12" s="11">
        <f>_xlfn.XLOOKUP(Planilha!$L12,Tabela9[Pessoas],Tabela9[UUID Jira])</f>
        <v/>
      </c>
      <c r="N12"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O12"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P12" s="11" t="inlineStr">
        <is>
          <t>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t>
        </is>
      </c>
      <c r="Q12" s="33" t="inlineStr">
        <is>
          <t>Execução de Testes</t>
        </is>
      </c>
      <c r="R12" s="37" t="inlineStr">
        <is>
          <t>🧾 Defined Requirement
Criar e disponibilizar um novo campo denominado “Preço Max” na transação ZV75 do SAP, garantindo que o valor de reajuste em contratos PRICING seja enviado de forma segregada (Preço de Manutenção e Preço Max) para permitir o correto tratamento no GUS e alinhamento das linhas CMAX no SAP, por meio do fluxo de integração SAP → IRIS → GUS.
🧑‍💼 Contact
João Mateus – Product Owner SAP
Stephanie - Product Owner GUS
Equipe SAP
Equipe IRIS
Equipe GUS
Gabriel Kramer – Stakeholder (reunião prévia)
Fernanda Gelatti – Stakeholder (reunião prévia)
📖 User Story Title
As a Analista de Negócio, I want que o SAP envie separadamente os valores de Preço de Manutenção e Preço Max, so that os contratos PRICING sejam ajustados corretamente no GUS e alinhem as linhas CMAX no SAP.
📊 Prioritization
Priority: High
Justificativa:
Business value: Permite cálculo correto de reajustes contratuais PRICING.
Impacto: Impede inconsistências financeiras e retrabalho manual.
Urgência: Situação atual bloqueia ajustes corretos no GUS.
Dependências: Integração direta entre SAP, IRIS e GUS.
🔍 Current Process (AS IS)
Atualmente, o SAP envia um único valor de reajuste, sem separação entre Preço de Manutenção e Preço Max. Esse modelo impossibilita:
Ajuste correto das tabelas no GUS
Alinhamento das linhas CMAX no SAP
🚀 Future Process (TO BE)
O SAP passa a disponibilizar um novo campo “Preço Max” na ZV75, enviando:
Preço de Manutenção
Preço Max
O IRIS atualiza o arquivo de integração e o GUS recebe os valores de forma segregada, aplicando corretamente os ajustes conforme a regra de negócio.
🎯 Change Objective
Garantir conformidade contratual e correto tratamento financeiro dos contratos PRICING, eliminando inconsistências e dependência de ajustes manuais.
❌ Out of Scope
Alterações em tipos contratuais que não sejam PRICING
Revisão de regras de cálculo no GUS além do consumo do novo campo
Mudanças retroativas em contratos já encerrados
✅ Acceptance Criteria (BDD)
Scenario 1 – Envio correto dos valores segregados
Given que existe um contrato do tipo PRICING no SAP
When o reajuste contratual for processado
Then o SAP deve enviar separadamente os campos “Preço de Manutenção” e “Preço Max” para o IRIS
And o GUS deve receber ambos os valores de forma estruturada
Scenario 2 – Campo obrigatório
Given um contrato PRICING
When o campo “Preço Max” não estiver preenchido
Then o contrato não deve ser enviado para integração
🧪 Validation Test Scenarios
Cenário 1 – Fluxo completo SAP → IRIS → GUS
Precondições:
Contrato PRICING ativo no SAP
Passos:
Informar Preço de Manutenção
Informar Preço Max na ZV75
Executar integração
Resultado Esperado:
Ambos os valores recebidos corretamente no GUS
❌ Rejection Test Scenarios
Cenário – Envio de valor único
Situação: SAP envia apenas um valor consolidado
Resultado Esperado:
Integração rejeitada ou sinalizada como incorreta
GUS não aplica ajuste
🔄 Regression Test Scenarios
Cenário – Contratos não PRICING
Verificação:
Contratos de outros tipos continuam funcionando sem impacto
Resultado Esperado:
Nenhuma alteração nos fluxos existentes
🧭 Cutover Suggestion
Comunicação aos times SAP, IRIS e GUS sobre o novo campo
Atualização do layout de integração
Testes integrados em ambiente controlado
Liberação coordenada em produção
📈 Score (GUT)
CritérioNotaGravity (Gravidade)5Urgency (Urgência)4Trend (Tendência)4GUT Total80</t>
        </is>
      </c>
      <c r="S12" s="10" t="n">
        <v>2</v>
      </c>
      <c r="T12" s="11">
        <f>_xlfn.XLOOKUP(S12,Tabela4[Horas],Tabela4[Pontos],,1)</f>
        <v/>
      </c>
      <c r="U12" s="11" t="inlineStr">
        <is>
          <t>ENS-9957</t>
        </is>
      </c>
      <c r="V12" s="11" t="inlineStr">
        <is>
          <t>ENS-10744</t>
        </is>
      </c>
      <c r="W12" s="11" t="inlineStr">
        <is>
          <t>ENS-10745</t>
        </is>
      </c>
      <c r="X12" s="43" t="n"/>
      <c r="Y12" s="44">
        <f>HYPERLINK("https://tkebrasil.atlassian.net/browse/" &amp; U12,U12)</f>
        <v/>
      </c>
      <c r="Z12" s="44">
        <f>HYPERLINK("https://tkebrasil.atlassian.net/browse/" &amp; V12,V12)</f>
        <v/>
      </c>
      <c r="AA12" s="44">
        <f>HYPERLINK("https://tkebrasil.atlassian.net/browse/" &amp; W12,W12)</f>
        <v/>
      </c>
      <c r="AB12" s="43" t="n"/>
      <c r="AC12" s="38" t="inlineStr">
        <is>
          <t>X</t>
        </is>
      </c>
      <c r="AD12" s="38" t="inlineStr">
        <is>
          <t>BL</t>
        </is>
      </c>
      <c r="AE12" s="4">
        <f>IF($AD12=AE$1,$U12)</f>
        <v/>
      </c>
      <c r="AF12" s="4">
        <f>IF($AD12=AF$1,$U12)</f>
        <v/>
      </c>
      <c r="AG12" s="4">
        <f>IF($AD12=AG$1,$U12)</f>
        <v/>
      </c>
      <c r="AH12" s="4">
        <f>IF($AD12=AH$1,$V12)</f>
        <v/>
      </c>
      <c r="AI12" s="4">
        <f>IF($AD12=AI$1,$V12)</f>
        <v/>
      </c>
      <c r="AJ12" s="4">
        <f>IF($AD12=AJ$1,$V12)</f>
        <v/>
      </c>
      <c r="AK12" s="4">
        <f>IF($AD12=AK$1,$W12)</f>
        <v/>
      </c>
      <c r="AL12" s="4">
        <f>IF($AD12=AL$1,$W12)</f>
        <v/>
      </c>
      <c r="AM12" s="4">
        <f>IF($AD12=AM$1,$W12)</f>
        <v/>
      </c>
    </row>
    <row r="13" ht="15" customHeight="1">
      <c r="A13" s="28">
        <f>UPPER(LEFT(I13, 3))</f>
        <v/>
      </c>
      <c r="B13" s="29" t="inlineStr">
        <is>
          <t>2026-08-10</t>
        </is>
      </c>
      <c r="C13" s="11" t="n">
        <v>0</v>
      </c>
      <c r="D13" s="11" t="n">
        <v>0</v>
      </c>
      <c r="E13" s="11" t="n"/>
      <c r="F13" s="11" t="n">
        <v>0</v>
      </c>
      <c r="G13" s="11" t="inlineStr">
        <is>
          <t>INTERFACE</t>
        </is>
      </c>
      <c r="H13" s="33" t="inlineStr">
        <is>
          <t>NOVO DESENVOLVIMENTO</t>
        </is>
      </c>
      <c r="I13" s="32" t="inlineStr">
        <is>
          <t>ensemble@thyssenkruppelevadores.com.br</t>
        </is>
      </c>
      <c r="J13" s="33" t="inlineStr">
        <is>
          <t>Giovani Perotto Mesquita</t>
        </is>
      </c>
      <c r="K13" s="11">
        <f>_xlfn.XLOOKUP(Planilha!$J13,Tabela9[Pessoas],Tabela9[UUID Jira])</f>
        <v/>
      </c>
      <c r="L13" s="33" t="inlineStr">
        <is>
          <t>Regina Albanus</t>
        </is>
      </c>
      <c r="M13" s="11">
        <f>_xlfn.XLOOKUP(Planilha!$L13,Tabela9[Pessoas],Tabela9[UUID Jira])</f>
        <v/>
      </c>
      <c r="N13" s="11" t="inlineStr">
        <is>
          <t>Preparo de CAB 2</t>
        </is>
      </c>
      <c r="O13" s="11" t="inlineStr">
        <is>
          <t>Preparo de CAB 2</t>
        </is>
      </c>
      <c r="P13" s="11" t="inlineStr">
        <is>
          <t>Preparo de CAB 2</t>
        </is>
      </c>
      <c r="Q13" s="33" t="inlineStr">
        <is>
          <t>Análise Técnica</t>
        </is>
      </c>
      <c r="R13"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3" s="10" t="n">
        <v>4</v>
      </c>
      <c r="T13" s="11">
        <f>_xlfn.XLOOKUP(S13,Tabela4[Horas],Tabela4[Pontos],,1)</f>
        <v/>
      </c>
      <c r="U13" s="11" t="inlineStr">
        <is>
          <t>ENS-9632</t>
        </is>
      </c>
      <c r="V13" s="11" t="inlineStr">
        <is>
          <t>ENS-10746</t>
        </is>
      </c>
      <c r="W13" s="11" t="inlineStr">
        <is>
          <t>ENS-10747</t>
        </is>
      </c>
      <c r="X13" s="43" t="n"/>
      <c r="Y13" s="44">
        <f>HYPERLINK("https://tkebrasil.atlassian.net/browse/" &amp; U13,U13)</f>
        <v/>
      </c>
      <c r="Z13" s="44">
        <f>HYPERLINK("https://tkebrasil.atlassian.net/browse/" &amp; V13,V13)</f>
        <v/>
      </c>
      <c r="AA13" s="44">
        <f>HYPERLINK("https://tkebrasil.atlassian.net/browse/" &amp; W13,W13)</f>
        <v/>
      </c>
      <c r="AB13" s="43" t="n"/>
      <c r="AC13" s="38" t="inlineStr">
        <is>
          <t>X</t>
        </is>
      </c>
      <c r="AD13" s="38" t="inlineStr">
        <is>
          <t>BL</t>
        </is>
      </c>
      <c r="AE13" s="4">
        <f>IF($AD13=AE$1,$U13)</f>
        <v/>
      </c>
      <c r="AF13" s="4">
        <f>IF($AD13=AF$1,$U13)</f>
        <v/>
      </c>
      <c r="AG13" s="4">
        <f>IF($AD13=AG$1,$U13)</f>
        <v/>
      </c>
      <c r="AH13" s="4">
        <f>IF($AD13=AH$1,$V13)</f>
        <v/>
      </c>
      <c r="AI13" s="4">
        <f>IF($AD13=AI$1,$V13)</f>
        <v/>
      </c>
      <c r="AJ13" s="4">
        <f>IF($AD13=AJ$1,$V13)</f>
        <v/>
      </c>
      <c r="AK13" s="4">
        <f>IF($AD13=AK$1,$W13)</f>
        <v/>
      </c>
      <c r="AL13" s="4">
        <f>IF($AD13=AL$1,$W13)</f>
        <v/>
      </c>
      <c r="AM13" s="4">
        <f>IF($AD13=AM$1,$W13)</f>
        <v/>
      </c>
    </row>
    <row r="14" ht="15" customHeight="1">
      <c r="A14" s="28">
        <f>UPPER(LEFT(I14, 3))</f>
        <v/>
      </c>
      <c r="B14" s="29" t="inlineStr">
        <is>
          <t>2026-08-10</t>
        </is>
      </c>
      <c r="C14" s="11" t="n">
        <v>0</v>
      </c>
      <c r="D14" s="11" t="n">
        <v>0</v>
      </c>
      <c r="E14" s="11" t="n"/>
      <c r="F14" s="11" t="n">
        <v>0</v>
      </c>
      <c r="G14" s="11" t="inlineStr">
        <is>
          <t>INTERFACE</t>
        </is>
      </c>
      <c r="H14" s="33" t="inlineStr">
        <is>
          <t>NOVO DESENVOLVIMENTO</t>
        </is>
      </c>
      <c r="I14" s="32" t="inlineStr">
        <is>
          <t>ensemble@thyssenkruppelevadores.com.br</t>
        </is>
      </c>
      <c r="J14" s="33" t="inlineStr">
        <is>
          <t>Giovani Perotto Mesquita</t>
        </is>
      </c>
      <c r="K14" s="11">
        <f>_xlfn.XLOOKUP(Planilha!$J14,Tabela9[Pessoas],Tabela9[UUID Jira])</f>
        <v/>
      </c>
      <c r="L14" s="33" t="inlineStr">
        <is>
          <t>Luiz Felipe Brandão da Silva</t>
        </is>
      </c>
      <c r="M14" s="11">
        <f>_xlfn.XLOOKUP(Planilha!$L14,Tabela9[Pessoas],Tabela9[UUID Jira])</f>
        <v/>
      </c>
      <c r="N14" s="11" t="inlineStr">
        <is>
          <t>Preparo de CAB 4</t>
        </is>
      </c>
      <c r="O14" s="11" t="inlineStr">
        <is>
          <t>Preparo de CAB 4</t>
        </is>
      </c>
      <c r="P14" s="11" t="inlineStr">
        <is>
          <t>Preparo de CAB 4</t>
        </is>
      </c>
      <c r="Q14" s="33" t="inlineStr">
        <is>
          <t>Análise Técnica</t>
        </is>
      </c>
      <c r="R14"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4" s="10" t="n">
        <v>4</v>
      </c>
      <c r="T14" s="11">
        <f>_xlfn.XLOOKUP(S14,Tabela4[Horas],Tabela4[Pontos],,1)</f>
        <v/>
      </c>
      <c r="U14" s="11" t="inlineStr">
        <is>
          <t>ENS-9635</t>
        </is>
      </c>
      <c r="V14" s="11" t="inlineStr">
        <is>
          <t>ENS-10748</t>
        </is>
      </c>
      <c r="W14" s="11" t="inlineStr">
        <is>
          <t>ENS-10749</t>
        </is>
      </c>
      <c r="X14" s="43" t="n"/>
      <c r="Y14" s="44">
        <f>HYPERLINK("https://tkebrasil.atlassian.net/browse/" &amp; U14,U14)</f>
        <v/>
      </c>
      <c r="Z14" s="44">
        <f>HYPERLINK("https://tkebrasil.atlassian.net/browse/" &amp; V14,V14)</f>
        <v/>
      </c>
      <c r="AA14" s="44">
        <f>HYPERLINK("https://tkebrasil.atlassian.net/browse/" &amp; W14,W14)</f>
        <v/>
      </c>
      <c r="AB14" s="43" t="n"/>
      <c r="AC14" s="38" t="inlineStr">
        <is>
          <t>X</t>
        </is>
      </c>
      <c r="AD14" s="38" t="inlineStr">
        <is>
          <t>BL</t>
        </is>
      </c>
      <c r="AE14" s="4">
        <f>IF($AD14=AE$1,$U14)</f>
        <v/>
      </c>
      <c r="AF14" s="4">
        <f>IF($AD14=AF$1,$U14)</f>
        <v/>
      </c>
      <c r="AG14" s="4">
        <f>IF($AD14=AG$1,$U14)</f>
        <v/>
      </c>
      <c r="AH14" s="4">
        <f>IF($AD14=AH$1,$V14)</f>
        <v/>
      </c>
      <c r="AI14" s="4">
        <f>IF($AD14=AI$1,$V14)</f>
        <v/>
      </c>
      <c r="AJ14" s="4">
        <f>IF($AD14=AJ$1,$V14)</f>
        <v/>
      </c>
      <c r="AK14" s="4">
        <f>IF($AD14=AK$1,$W14)</f>
        <v/>
      </c>
      <c r="AL14" s="4">
        <f>IF($AD14=AL$1,$W14)</f>
        <v/>
      </c>
      <c r="AM14" s="4">
        <f>IF($AD14=AM$1,$W14)</f>
        <v/>
      </c>
    </row>
    <row r="15" ht="15" customHeight="1">
      <c r="A15" s="28">
        <f>UPPER(LEFT(I15, 3))</f>
        <v/>
      </c>
      <c r="B15" s="29" t="inlineStr">
        <is>
          <t>2026-08-10</t>
        </is>
      </c>
      <c r="C15" s="11" t="inlineStr">
        <is>
          <t>REQ0522963</t>
        </is>
      </c>
      <c r="D15" s="11" t="inlineStr">
        <is>
          <t>SCTASK0727583</t>
        </is>
      </c>
      <c r="E15" s="11" t="n"/>
      <c r="F15" s="11" t="n">
        <v>0</v>
      </c>
      <c r="G15" s="11" t="inlineStr">
        <is>
          <t>INTERFACE</t>
        </is>
      </c>
      <c r="H15" s="33" t="inlineStr">
        <is>
          <t>NOVO DESENVOLVIMENTO</t>
        </is>
      </c>
      <c r="I15" s="32" t="inlineStr">
        <is>
          <t>ensemble@thyssenkruppelevadores.com.br</t>
        </is>
      </c>
      <c r="J15" s="33" t="inlineStr">
        <is>
          <t>Giovani Perotto Mesquita</t>
        </is>
      </c>
      <c r="K15" s="11">
        <f>_xlfn.XLOOKUP(Planilha!$J15,Tabela9[Pessoas],Tabela9[UUID Jira])</f>
        <v/>
      </c>
      <c r="L15" s="33" t="inlineStr">
        <is>
          <t>Luiz Felipe Brandão da Silva</t>
        </is>
      </c>
      <c r="M15" s="11">
        <f>_xlfn.XLOOKUP(Planilha!$L15,Tabela9[Pessoas],Tabela9[UUID Jira])</f>
        <v/>
      </c>
      <c r="N15" s="11" t="inlineStr">
        <is>
          <t>Criar alerta quando mensagem da Adobe chegar no webhook</t>
        </is>
      </c>
      <c r="O15" s="11" t="inlineStr">
        <is>
          <t>Criar alerta quando mensagem da Adobe chegar no webhook</t>
        </is>
      </c>
      <c r="P15" s="11" t="inlineStr">
        <is>
          <t>Criar alerta quando mensagem da Adobe chegar no webhook</t>
        </is>
      </c>
      <c r="Q15" s="33" t="inlineStr">
        <is>
          <t>Execução de Testes</t>
        </is>
      </c>
      <c r="R1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5" s="10" t="n">
        <v>2</v>
      </c>
      <c r="T15" s="11">
        <f>_xlfn.XLOOKUP(S15,Tabela4[Horas],Tabela4[Pontos],,1)</f>
        <v/>
      </c>
      <c r="U15" s="11" t="inlineStr">
        <is>
          <t>ENS-10442</t>
        </is>
      </c>
      <c r="V15" s="11" t="inlineStr">
        <is>
          <t>ENS-10750</t>
        </is>
      </c>
      <c r="W15" s="11" t="inlineStr">
        <is>
          <t>ENS-10751</t>
        </is>
      </c>
      <c r="X15" s="43" t="n"/>
      <c r="Y15" s="44">
        <f>HYPERLINK("https://tkebrasil.atlassian.net/browse/" &amp; U15,U15)</f>
        <v/>
      </c>
      <c r="Z15" s="44">
        <f>HYPERLINK("https://tkebrasil.atlassian.net/browse/" &amp; V15,V15)</f>
        <v/>
      </c>
      <c r="AA15" s="44">
        <f>HYPERLINK("https://tkebrasil.atlassian.net/browse/" &amp; W15,W15)</f>
        <v/>
      </c>
      <c r="AB15" s="43" t="n"/>
      <c r="AC15" s="38" t="inlineStr">
        <is>
          <t>X</t>
        </is>
      </c>
      <c r="AD15" s="38" t="inlineStr">
        <is>
          <t>BL</t>
        </is>
      </c>
      <c r="AE15" s="4">
        <f>IF($AD15=AE$1,$U15)</f>
        <v/>
      </c>
      <c r="AF15" s="4">
        <f>IF($AD15=AF$1,$U15)</f>
        <v/>
      </c>
      <c r="AG15" s="4">
        <f>IF($AD15=AG$1,$U15)</f>
        <v/>
      </c>
      <c r="AH15" s="4">
        <f>IF($AD15=AH$1,$V15)</f>
        <v/>
      </c>
      <c r="AI15" s="4">
        <f>IF($AD15=AI$1,$V15)</f>
        <v/>
      </c>
      <c r="AJ15" s="4">
        <f>IF($AD15=AJ$1,$V15)</f>
        <v/>
      </c>
      <c r="AK15" s="4">
        <f>IF($AD15=AK$1,$W15)</f>
        <v/>
      </c>
      <c r="AL15" s="4">
        <f>IF($AD15=AL$1,$W15)</f>
        <v/>
      </c>
      <c r="AM15" s="4">
        <f>IF($AD15=AM$1,$W15)</f>
        <v/>
      </c>
    </row>
    <row r="16" ht="15" customHeight="1">
      <c r="A16" s="28">
        <f>UPPER(LEFT(I16, 3))</f>
        <v/>
      </c>
      <c r="B16" s="29" t="inlineStr">
        <is>
          <t>2026-08-10</t>
        </is>
      </c>
      <c r="C16" s="11" t="inlineStr">
        <is>
          <t>REQ0522901</t>
        </is>
      </c>
      <c r="D16" s="11" t="inlineStr">
        <is>
          <t>SCTASK0727520</t>
        </is>
      </c>
      <c r="E16" s="11" t="n"/>
      <c r="F16" s="11" t="n">
        <v>0</v>
      </c>
      <c r="G16" s="11" t="inlineStr">
        <is>
          <t>INTERFACE</t>
        </is>
      </c>
      <c r="H16" s="33" t="inlineStr">
        <is>
          <t>NOVO DESENVOLVIMENTO</t>
        </is>
      </c>
      <c r="I16" s="32" t="inlineStr">
        <is>
          <t>ensemble@thyssenkruppelevadores.com.br</t>
        </is>
      </c>
      <c r="J16" s="33" t="inlineStr">
        <is>
          <t>Giovani Perotto Mesquita</t>
        </is>
      </c>
      <c r="K16" s="11">
        <f>_xlfn.XLOOKUP(Planilha!$J16,Tabela9[Pessoas],Tabela9[UUID Jira])</f>
        <v/>
      </c>
      <c r="L16" s="33" t="inlineStr">
        <is>
          <t>Regina Albanus</t>
        </is>
      </c>
      <c r="M16" s="11">
        <f>_xlfn.XLOOKUP(Planilha!$L16,Tabela9[Pessoas],Tabela9[UUID Jira])</f>
        <v/>
      </c>
      <c r="N16" s="11" t="inlineStr">
        <is>
          <t>Implementar API Soluti timestamp</t>
        </is>
      </c>
      <c r="O16" s="11" t="inlineStr">
        <is>
          <t>Implementar API Soluti timestamp</t>
        </is>
      </c>
      <c r="P16" s="11" t="inlineStr">
        <is>
          <t>Implementar API Soluti timestamp</t>
        </is>
      </c>
      <c r="Q16" s="33" t="inlineStr">
        <is>
          <t>Análise Técnica</t>
        </is>
      </c>
      <c r="R16"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16" s="10" t="n">
        <v>8</v>
      </c>
      <c r="T16" s="11">
        <f>_xlfn.XLOOKUP(S16,Tabela4[Horas],Tabela4[Pontos],,1)</f>
        <v/>
      </c>
      <c r="U16" s="11" t="inlineStr">
        <is>
          <t>ENS-10362</t>
        </is>
      </c>
      <c r="V16" s="11" t="inlineStr">
        <is>
          <t>ENS-10752</t>
        </is>
      </c>
      <c r="W16" s="11" t="inlineStr">
        <is>
          <t>ENS-10753</t>
        </is>
      </c>
      <c r="X16" s="43" t="n"/>
      <c r="Y16" s="44">
        <f>HYPERLINK("https://tkebrasil.atlassian.net/browse/" &amp; U16,U16)</f>
        <v/>
      </c>
      <c r="Z16" s="44">
        <f>HYPERLINK("https://tkebrasil.atlassian.net/browse/" &amp; V16,V16)</f>
        <v/>
      </c>
      <c r="AA16" s="44">
        <f>HYPERLINK("https://tkebrasil.atlassian.net/browse/" &amp; W16,W16)</f>
        <v/>
      </c>
      <c r="AB16" s="43" t="n"/>
      <c r="AC16" s="38" t="inlineStr">
        <is>
          <t>X</t>
        </is>
      </c>
      <c r="AD16" s="38" t="inlineStr">
        <is>
          <t>BL</t>
        </is>
      </c>
      <c r="AE16" s="4">
        <f>IF($AD16=AE$1,$U16)</f>
        <v/>
      </c>
      <c r="AF16" s="4">
        <f>IF($AD16=AF$1,$U16)</f>
        <v/>
      </c>
      <c r="AG16" s="4">
        <f>IF($AD16=AG$1,$U16)</f>
        <v/>
      </c>
      <c r="AH16" s="4">
        <f>IF($AD16=AH$1,$V16)</f>
        <v/>
      </c>
      <c r="AI16" s="4">
        <f>IF($AD16=AI$1,$V16)</f>
        <v/>
      </c>
      <c r="AJ16" s="4">
        <f>IF($AD16=AJ$1,$V16)</f>
        <v/>
      </c>
      <c r="AK16" s="4">
        <f>IF($AD16=AK$1,$W16)</f>
        <v/>
      </c>
      <c r="AL16" s="4">
        <f>IF($AD16=AL$1,$W16)</f>
        <v/>
      </c>
      <c r="AM16" s="4">
        <f>IF($AD16=AM$1,$W16)</f>
        <v/>
      </c>
    </row>
    <row r="17" ht="15" customHeight="1">
      <c r="A17" s="28">
        <f>UPPER(LEFT(I17, 3))</f>
        <v/>
      </c>
      <c r="B17" s="29" t="inlineStr">
        <is>
          <t>2026-08-10</t>
        </is>
      </c>
      <c r="C17" s="11" t="inlineStr">
        <is>
          <t>REQ0482512</t>
        </is>
      </c>
      <c r="D17" s="40" t="inlineStr">
        <is>
          <t>SCTASK0708892</t>
        </is>
      </c>
      <c r="E17" s="11" t="n"/>
      <c r="F17" s="11" t="n">
        <v>0</v>
      </c>
      <c r="G17" s="11" t="inlineStr">
        <is>
          <t>INTERFACE</t>
        </is>
      </c>
      <c r="H17" s="33" t="inlineStr">
        <is>
          <t>NOVO DESENVOLVIMENTO</t>
        </is>
      </c>
      <c r="I17" s="32" t="inlineStr">
        <is>
          <t>ensemble@thyssenkruppelevadores.com.br</t>
        </is>
      </c>
      <c r="J17" s="33" t="inlineStr">
        <is>
          <t>Giovani Perotto Mesquita</t>
        </is>
      </c>
      <c r="K17" s="11">
        <f>_xlfn.XLOOKUP(Planilha!$J17,Tabela9[Pessoas],Tabela9[UUID Jira])</f>
        <v/>
      </c>
      <c r="L17" s="33" t="inlineStr">
        <is>
          <t>Pablo Rocha</t>
        </is>
      </c>
      <c r="M17" s="11">
        <f>_xlfn.XLOOKUP(Planilha!$L17,Tabela9[Pessoas],Tabela9[UUID Jira])</f>
        <v/>
      </c>
      <c r="N17" s="11" t="inlineStr">
        <is>
          <t>Enviar CPF via jspv</t>
        </is>
      </c>
      <c r="O17" s="11" t="inlineStr">
        <is>
          <t>Enviar CPF via jspv</t>
        </is>
      </c>
      <c r="P17" s="41" t="inlineStr">
        <is>
          <t>Enviar CPF via jspv</t>
        </is>
      </c>
      <c r="Q17" s="33" t="inlineStr">
        <is>
          <t>Análise Técnica</t>
        </is>
      </c>
      <c r="R17" s="37" t="inlineStr">
        <is>
          <t>Demanda da Stephanie, segunda a mesma seria só incluir este campo</t>
        </is>
      </c>
      <c r="S17" s="10" t="n">
        <v>4</v>
      </c>
      <c r="T17" s="11">
        <f>_xlfn.XLOOKUP(S17,Tabela4[Horas],Tabela4[Pontos],,1)</f>
        <v/>
      </c>
      <c r="U17" s="11" t="inlineStr">
        <is>
          <t>ENS-10576</t>
        </is>
      </c>
      <c r="V17" s="11" t="inlineStr">
        <is>
          <t>ENS-10754</t>
        </is>
      </c>
      <c r="W17" s="11" t="inlineStr">
        <is>
          <t>ENS-10755</t>
        </is>
      </c>
      <c r="X17" s="43" t="n"/>
      <c r="Y17" s="44">
        <f>HYPERLINK("https://tkebrasil.atlassian.net/browse/" &amp; U17,U17)</f>
        <v/>
      </c>
      <c r="Z17" s="44">
        <f>HYPERLINK("https://tkebrasil.atlassian.net/browse/" &amp; V17,V17)</f>
        <v/>
      </c>
      <c r="AA17" s="44">
        <f>HYPERLINK("https://tkebrasil.atlassian.net/browse/" &amp; W17,W17)</f>
        <v/>
      </c>
      <c r="AB17" s="43" t="n"/>
      <c r="AC17" s="38" t="inlineStr">
        <is>
          <t>X</t>
        </is>
      </c>
      <c r="AD17" s="38" t="inlineStr">
        <is>
          <t>BL</t>
        </is>
      </c>
      <c r="AE17" s="4">
        <f>IF($AD17=AE$1,$U17)</f>
        <v/>
      </c>
      <c r="AF17" s="4">
        <f>IF($AD17=AF$1,$U17)</f>
        <v/>
      </c>
      <c r="AG17" s="4">
        <f>IF($AD17=AG$1,$U17)</f>
        <v/>
      </c>
      <c r="AH17" s="4">
        <f>IF($AD17=AH$1,$V17)</f>
        <v/>
      </c>
      <c r="AI17" s="4">
        <f>IF($AD17=AI$1,$V17)</f>
        <v/>
      </c>
      <c r="AJ17" s="4">
        <f>IF($AD17=AJ$1,$V17)</f>
        <v/>
      </c>
      <c r="AK17" s="4">
        <f>IF($AD17=AK$1,$W17)</f>
        <v/>
      </c>
      <c r="AL17" s="4">
        <f>IF($AD17=AL$1,$W17)</f>
        <v/>
      </c>
      <c r="AM17" s="4">
        <f>IF($AD17=AM$1,$W17)</f>
        <v/>
      </c>
    </row>
    <row r="18" ht="15" customHeight="1">
      <c r="A18" s="28">
        <f>UPPER(LEFT(I18, 3))</f>
        <v/>
      </c>
      <c r="B18" s="29" t="inlineStr">
        <is>
          <t>2026-08-10</t>
        </is>
      </c>
      <c r="C18" s="11" t="inlineStr">
        <is>
          <t>REQ0526341</t>
        </is>
      </c>
      <c r="D18" s="11" t="inlineStr">
        <is>
          <t>SCTASK0744373</t>
        </is>
      </c>
      <c r="E18" s="11" t="n"/>
      <c r="F18" s="11" t="n">
        <v>0</v>
      </c>
      <c r="G18" s="11" t="inlineStr">
        <is>
          <t>INTERFACE</t>
        </is>
      </c>
      <c r="H18" s="33" t="inlineStr">
        <is>
          <t>NOVO DESENVOLVIMENTO</t>
        </is>
      </c>
      <c r="I18" s="32" t="inlineStr">
        <is>
          <t>ensemble@thyssenkruppelevadores.com.br</t>
        </is>
      </c>
      <c r="J18" s="33" t="inlineStr">
        <is>
          <t>Giovani Perotto Mesquita</t>
        </is>
      </c>
      <c r="K18" s="11">
        <f>_xlfn.XLOOKUP(Planilha!$J18,Tabela9[Pessoas],Tabela9[UUID Jira])</f>
        <v/>
      </c>
      <c r="L18" s="33" t="inlineStr">
        <is>
          <t>Luiz Felipe Brandão da Silva</t>
        </is>
      </c>
      <c r="M18" s="11">
        <f>_xlfn.XLOOKUP(Planilha!$L18,Tabela9[Pessoas],Tabela9[UUID Jira])</f>
        <v/>
      </c>
      <c r="N18" s="11" t="inlineStr">
        <is>
          <t>Criar um fluxo de dados para capturar as informações de DOT.CALCULO provenientes do Dossiê Técnico</t>
        </is>
      </c>
      <c r="O18" s="11" t="inlineStr">
        <is>
          <t>Criar um fluxo de dados para capturar as informações de DOT.CALCULO provenientes do Dossiê Técnico</t>
        </is>
      </c>
      <c r="P18" s="11" t="inlineStr">
        <is>
          <t>Criar um fluxo de dados para capturar as informações de DOT.CALCULO provenientes do Dossiê Técnico</t>
        </is>
      </c>
      <c r="Q18" s="11" t="inlineStr">
        <is>
          <t>Análise Técnica</t>
        </is>
      </c>
      <c r="R18" s="37" t="inlineStr">
        <is>
          <t>🧾 Definição da Necessidade
Criar um fluxo de dados para capturar as informações de DOT.CALCULO provenientes do Dossiê Técnico, persistindo os dados transitados no IRIS por meio de uma tabela federada, viabilizando a disponibilidade e rastreabilidade das informações para consumo futuro.
 Fonte: SCTASK0744373
🧑‍💼 Contato
PO: Robson Portella
📖 Título da User Story
Como responsável pelo consumo de informações do Dossiê Técnico, quero que os dados de DOT.CALCULO sejam persistidos em uma tabela federada no IRIS, para que as informações transitadas possam ser armazenadas e disponibilizadas de forma estruturada para utilização posterior.
📊 Priorização
Prioridade: Alta
Justificativa:
Valor de negócio: Permite a disponibilização estruturada dos dados do Dossiê Técnico.
Impacto: Cria a base necessária para consultas e integrações futuras.
Urgência: Existe uma solicitação explícita para implementação do fluxo de persistência.
Dependências: A persistência em tabela federada é pré-requisito para qualquer consumo analítico ou operacional destes dados.
🔍 Processo Atual (AS IS)
Os dados de DOT.CALCULO transitam pelo processo do Dossiê Técnico, porém não existe uma persistência das informações em uma tabela federada dentro do IRIS.
🚀 Processo Futuro (TO BE)
Os dados de DOT.CALCULO serão capturados durante sua transitação no processo do Dossiê Técnico e persistidos automaticamente em uma tabela federada no IRIS, permitindo sua consulta e utilização por consumidores autorizados.
🎯 Objetivo da Mudança
Implementar um mecanismo de persistência dos dados DOT.CALCULO em uma tabela federada no IRIS, garantindo armazenamento estruturado das informações transitadas e disponibilidade para usos futuros.
❌ Fora de Escopo
Criação de dashboards ou relatórios.
Desenvolvimento de consultas analíticas.
Alterações na origem dos dados do Dossiê Técnico.
Mudanças em sistemas consumidores.
Processamento ou transformação de dados não relacionados ao objeto DOT.CALCULO.
✅ Critérios de Aceite (BDD)
Cenário 1: Persistir dados recebidos
Dado que existam informações de DOT.CALCULO transitando pelo processo do Dossiê Técnico
 Quando o fluxo de captura for executado
 Então os dados deverão ser persistidos em uma tabela federada no IRIS.
Cenário 2: Disponibilizar dados persistidos
Dado que registros tenham sido persistidos na tabela federada
 Quando a tabela for consultada
 Então os registros armazenados deverão estar disponíveis para consulta.
Cenário 3: Integridade da persistência
Dado que informações de DOT.CALCULO sejam processadas
 Quando a gravação ocorrer na tabela federada
 Então os dados persistidos deverão corresponder aos dados recebidos pelo fluxo.
🧪 Cenários de Teste de Validação
Cenário 1: Persistência de registro válido
Pré-condições
Fluxo implantado.
Existência de dados de DOT.CALCULO para processamento.
Passos
Enviar um registro contendo informações de DOT.CALCULO.
Aguardar o processamento do fluxo.
Consultar a tabela federada.
Resultado Esperado
O registro é encontrado na tabela federada do IRIS.
Cenário 2: Persistência de múltiplos registros
Pré-condições
Fluxo operacional.
Passos
Processar múltiplos registros DOT.CALCULO.
Consultar a tabela federada.
Resultado Esperado
Todos os registros processados encontram-se armazenados.
Cenário 3: Disponibilidade para consulta
Pré-condições
Existência de registros persistidos.
Passos
Realizar consulta na tabela federada.
Verificar retorno dos registros.
Resultado Esperado
Os dados persistidos são retornados corretamente.
❌ Cenários de Teste de Rejeição
Cenário 1: Falha na persistência
Pré-condições
Fluxo executando.
Passos
Processar um registro DOT.CALCULO.
Consultar a tabela federada.
Resultado Esperado
O teste falha caso o registro não seja encontrado na tabela.
Cenário 2: Divergência de informações
Pré-condições
Registro processado.
Passos
Comparar os dados recebidos com os dados gravados.
Validar integridade das informações.
Resultado Esperado
O teste falha caso existam divergências entre origem e persistência.
🔄 Cenários de Teste de Regressão
Cenário 1: Continuidade do fluxo atual
Pré-condições
Processo existente em funcionamento.
Passos
Executar o processamento normal do Dossiê Técnico.
Monitorar comportamento da integração.
Resultado Esperado
O fluxo original permanece operacional sem impactos.
Cenário 2: Persistência sem interferência
Pré-condições
Fluxo implantado.
Passos
Processar registros normalmente.
Validar a persistência.
Validar a continuidade do processamento.
Resultado Esperado
A gravação na tabela federada não afeta o fluxo de origem.
🧭 Sugestão de Cutover
Comunicação
Informar equipes consumidoras sobre a disponibilização da nova estrutura de persistência.
Implantação
Publicar o fluxo de captura e persistência em ambiente produtivo.
Testes em Produção
Executar processamento controlado de registros DOT.CALCULO.
Validar a gravação na tabela federada.
Monitoramento Inicial
Acompanhar o volume de registros persistidos.
Verificar possíveis falhas de gravação após a entrada em produção.
📈 Score (GUT)
Critério	NotaGravidade	4
Urgência	4
Tendência	4
GUT = 64
Justificativa
A persistência dos dados é necessária para garantir disponibilidade e rastreabilidade das informações do Dossiê Técnico. A ausência dessa estrutura pode limitar futuras consultas e integrações, justificando uma classificação elevada, embora não crítica.</t>
        </is>
      </c>
      <c r="S18" s="10" t="n">
        <v>8</v>
      </c>
      <c r="T18" s="11">
        <f>_xlfn.XLOOKUP(S18,Tabela4[Horas],Tabela4[Pontos],,1)</f>
        <v/>
      </c>
      <c r="U18" s="11" t="inlineStr">
        <is>
          <t>ENS-10673</t>
        </is>
      </c>
      <c r="V18" s="11" t="inlineStr">
        <is>
          <t>ENS-10756</t>
        </is>
      </c>
      <c r="W18" s="11" t="inlineStr">
        <is>
          <t>ENS-10757</t>
        </is>
      </c>
      <c r="X18" s="43" t="n"/>
      <c r="Y18" s="44">
        <f>HYPERLINK("https://tkebrasil.atlassian.net/browse/" &amp; U18,U18)</f>
        <v/>
      </c>
      <c r="Z18" s="44">
        <f>HYPERLINK("https://tkebrasil.atlassian.net/browse/" &amp; V18,V18)</f>
        <v/>
      </c>
      <c r="AA18" s="44">
        <f>HYPERLINK("https://tkebrasil.atlassian.net/browse/" &amp; W18,W18)</f>
        <v/>
      </c>
      <c r="AB18" s="43" t="n"/>
      <c r="AC18" s="38" t="inlineStr">
        <is>
          <t>X</t>
        </is>
      </c>
      <c r="AD18" s="38" t="inlineStr">
        <is>
          <t>BL</t>
        </is>
      </c>
      <c r="AE18" s="4">
        <f>IF($AD18=AE$1,$U18)</f>
        <v/>
      </c>
      <c r="AF18" s="4">
        <f>IF($AD18=AF$1,$U18)</f>
        <v/>
      </c>
      <c r="AG18" s="4">
        <f>IF($AD18=AG$1,$U18)</f>
        <v/>
      </c>
      <c r="AH18" s="4">
        <f>IF($AD18=AH$1,$V18)</f>
        <v/>
      </c>
      <c r="AI18" s="4">
        <f>IF($AD18=AI$1,$V18)</f>
        <v/>
      </c>
      <c r="AJ18" s="4">
        <f>IF($AD18=AJ$1,$V18)</f>
        <v/>
      </c>
      <c r="AK18" s="4">
        <f>IF($AD18=AK$1,$W18)</f>
        <v/>
      </c>
      <c r="AL18" s="4">
        <f>IF($AD18=AL$1,$W18)</f>
        <v/>
      </c>
      <c r="AM18" s="4">
        <f>IF($AD18=AM$1,$W18)</f>
        <v/>
      </c>
    </row>
    <row r="19" ht="15" customHeight="1">
      <c r="A19" s="28">
        <f>UPPER(LEFT(I19, 3))</f>
        <v/>
      </c>
      <c r="B19" s="29" t="inlineStr">
        <is>
          <t>2026-08-10</t>
        </is>
      </c>
      <c r="C19" s="11" t="n">
        <v>0</v>
      </c>
      <c r="D19" s="11" t="n">
        <v>0</v>
      </c>
      <c r="E19" s="11" t="n"/>
      <c r="F19" s="11" t="n">
        <v>0</v>
      </c>
      <c r="G19" s="11" t="inlineStr">
        <is>
          <t>INTERFACE</t>
        </is>
      </c>
      <c r="H19" s="33" t="inlineStr">
        <is>
          <t>NOVO DESENVOLVIMENTO</t>
        </is>
      </c>
      <c r="I19" s="32" t="inlineStr">
        <is>
          <t>ensemble@thyssenkruppelevadores.com.br</t>
        </is>
      </c>
      <c r="J19" s="33" t="inlineStr">
        <is>
          <t>Giovani Perotto Mesquita</t>
        </is>
      </c>
      <c r="K19" s="11">
        <f>_xlfn.XLOOKUP(Planilha!$J19,Tabela9[Pessoas],Tabela9[UUID Jira])</f>
        <v/>
      </c>
      <c r="L19" s="33" t="inlineStr">
        <is>
          <t>Regina Albanus</t>
        </is>
      </c>
      <c r="M19" s="11">
        <f>_xlfn.XLOOKUP(Planilha!$L19,Tabela9[Pessoas],Tabela9[UUID Jira])</f>
        <v/>
      </c>
      <c r="N19" s="11" t="inlineStr">
        <is>
          <t>Criar dashboard de negócios do IRIS</t>
        </is>
      </c>
      <c r="O19" s="11" t="inlineStr">
        <is>
          <t>Criar dashboard de negócios do IRIS</t>
        </is>
      </c>
      <c r="P19" s="11" t="inlineStr">
        <is>
          <t>Criar dashboard de negócios do IRIS</t>
        </is>
      </c>
      <c r="Q19" s="11" t="inlineStr">
        <is>
          <t>Análise Técnica</t>
        </is>
      </c>
      <c r="R19" s="37" t="inlineStr">
        <is>
          <t>Ver DoR</t>
        </is>
      </c>
      <c r="S19" s="10" t="n">
        <v>2</v>
      </c>
      <c r="T19" s="11">
        <f>_xlfn.XLOOKUP(S19,Tabela4[Horas],Tabela4[Pontos],,1)</f>
        <v/>
      </c>
      <c r="U19" s="11" t="inlineStr">
        <is>
          <t>ENS-10676</t>
        </is>
      </c>
      <c r="V19" s="11" t="inlineStr">
        <is>
          <t>ENS-10758</t>
        </is>
      </c>
      <c r="W19" s="11" t="inlineStr">
        <is>
          <t>ENS-10759</t>
        </is>
      </c>
      <c r="X19" s="43" t="n"/>
      <c r="Y19" s="44">
        <f>HYPERLINK("https://tkebrasil.atlassian.net/browse/" &amp; U19,U19)</f>
        <v/>
      </c>
      <c r="Z19" s="44">
        <f>HYPERLINK("https://tkebrasil.atlassian.net/browse/" &amp; V19,V19)</f>
        <v/>
      </c>
      <c r="AA19" s="44">
        <f>HYPERLINK("https://tkebrasil.atlassian.net/browse/" &amp; W19,W19)</f>
        <v/>
      </c>
      <c r="AB19" s="43" t="n"/>
      <c r="AC19" s="38" t="inlineStr">
        <is>
          <t>X</t>
        </is>
      </c>
      <c r="AD19" s="38" t="inlineStr">
        <is>
          <t>BL</t>
        </is>
      </c>
      <c r="AE19" s="4">
        <f>IF($AD19=AE$1,$U19)</f>
        <v/>
      </c>
      <c r="AF19" s="4">
        <f>IF($AD19=AF$1,$U19)</f>
        <v/>
      </c>
      <c r="AG19" s="4">
        <f>IF($AD19=AG$1,$U19)</f>
        <v/>
      </c>
      <c r="AH19" s="4">
        <f>IF($AD19=AH$1,$V19)</f>
        <v/>
      </c>
      <c r="AI19" s="4">
        <f>IF($AD19=AI$1,$V19)</f>
        <v/>
      </c>
      <c r="AJ19" s="4">
        <f>IF($AD19=AJ$1,$V19)</f>
        <v/>
      </c>
      <c r="AK19" s="4">
        <f>IF($AD19=AK$1,$W19)</f>
        <v/>
      </c>
      <c r="AL19" s="4">
        <f>IF($AD19=AL$1,$W19)</f>
        <v/>
      </c>
      <c r="AM19" s="4">
        <f>IF($AD19=AM$1,$W19)</f>
        <v/>
      </c>
    </row>
    <row r="20" ht="15" customHeight="1">
      <c r="A20" s="28">
        <f>UPPER(LEFT(I20, 3))</f>
        <v/>
      </c>
      <c r="B20" s="29" t="inlineStr">
        <is>
          <t>2026-08-10</t>
        </is>
      </c>
      <c r="C20" s="11" t="inlineStr">
        <is>
          <t>REQ0525598</t>
        </is>
      </c>
      <c r="D20" s="11" t="inlineStr">
        <is>
          <t>SCTASK0730907</t>
        </is>
      </c>
      <c r="E20" s="11" t="n"/>
      <c r="F20" s="11" t="n">
        <v>0</v>
      </c>
      <c r="G20" s="11" t="inlineStr">
        <is>
          <t>INTERFACE</t>
        </is>
      </c>
      <c r="H20" s="33" t="inlineStr">
        <is>
          <t>NOVO DESENVOLVIMENTO</t>
        </is>
      </c>
      <c r="I20" s="32" t="inlineStr">
        <is>
          <t>ensemble@thyssenkruppelevadores.com.br</t>
        </is>
      </c>
      <c r="J20" s="33" t="inlineStr">
        <is>
          <t>Giovani Perotto Mesquita</t>
        </is>
      </c>
      <c r="K20" s="11">
        <f>_xlfn.XLOOKUP(Planilha!$J20,Tabela9[Pessoas],Tabela9[UUID Jira])</f>
        <v/>
      </c>
      <c r="L20" s="11" t="inlineStr">
        <is>
          <t>Pablo Rocha</t>
        </is>
      </c>
      <c r="M20" s="11">
        <f>_xlfn.XLOOKUP(Planilha!$L20,Tabela9[Pessoas],Tabela9[UUID Jira])</f>
        <v/>
      </c>
      <c r="N20" s="11" t="inlineStr">
        <is>
          <t>Criar e parametrizar IOT Dynamox</t>
        </is>
      </c>
      <c r="O20" s="11" t="inlineStr">
        <is>
          <t>Criar e parametrizar IOT Dynamox</t>
        </is>
      </c>
      <c r="P20" s="11" t="inlineStr">
        <is>
          <t>Criar e parametrizar IOT Dynamox</t>
        </is>
      </c>
      <c r="Q20" s="33" t="inlineStr">
        <is>
          <t>Implementação</t>
        </is>
      </c>
      <c r="R20" s="11" t="inlineStr">
        <is>
          <t>Criar e parametrizar IOT Dynamox</t>
        </is>
      </c>
      <c r="S20" s="10" t="n">
        <v>6</v>
      </c>
      <c r="T20" s="11">
        <f>_xlfn.XLOOKUP(S20,Tabela4[Horas],Tabela4[Pontos],,1)</f>
        <v/>
      </c>
      <c r="U20" s="11" t="inlineStr">
        <is>
          <t>ENS-10380</t>
        </is>
      </c>
      <c r="V20" s="11" t="inlineStr">
        <is>
          <t>ENS-10760</t>
        </is>
      </c>
      <c r="W20" s="11" t="inlineStr">
        <is>
          <t>ENS-10761</t>
        </is>
      </c>
      <c r="X20" s="43" t="n"/>
      <c r="Y20" s="44">
        <f>HYPERLINK("https://tkebrasil.atlassian.net/browse/" &amp; U20,U20)</f>
        <v/>
      </c>
      <c r="Z20" s="44">
        <f>HYPERLINK("https://tkebrasil.atlassian.net/browse/" &amp; V20,V20)</f>
        <v/>
      </c>
      <c r="AA20" s="44">
        <f>HYPERLINK("https://tkebrasil.atlassian.net/browse/" &amp; W20,W20)</f>
        <v/>
      </c>
      <c r="AB20" s="43" t="n"/>
      <c r="AC20" s="38" t="inlineStr">
        <is>
          <t>X</t>
        </is>
      </c>
      <c r="AD20" s="38" t="inlineStr">
        <is>
          <t>BL</t>
        </is>
      </c>
      <c r="AE20" s="4">
        <f>IF($AD20=AE$1,$U20)</f>
        <v/>
      </c>
      <c r="AF20" s="4">
        <f>IF($AD20=AF$1,$U20)</f>
        <v/>
      </c>
      <c r="AG20" s="4">
        <f>IF($AD20=AG$1,$U20)</f>
        <v/>
      </c>
      <c r="AH20" s="4">
        <f>IF($AD20=AH$1,$V20)</f>
        <v/>
      </c>
      <c r="AI20" s="4">
        <f>IF($AD20=AI$1,$V20)</f>
        <v/>
      </c>
      <c r="AJ20" s="4">
        <f>IF($AD20=AJ$1,$V20)</f>
        <v/>
      </c>
      <c r="AK20" s="4">
        <f>IF($AD20=AK$1,$W20)</f>
        <v/>
      </c>
      <c r="AL20" s="4">
        <f>IF($AD20=AL$1,$W20)</f>
        <v/>
      </c>
      <c r="AM20" s="4">
        <f>IF($AD20=AM$1,$W20)</f>
        <v/>
      </c>
    </row>
    <row r="21" ht="15" customHeight="1">
      <c r="A21" s="28">
        <f>UPPER(LEFT(I21, 3))</f>
        <v/>
      </c>
      <c r="B21" s="29" t="inlineStr">
        <is>
          <t>2026-08-10</t>
        </is>
      </c>
      <c r="C21" s="11" t="inlineStr">
        <is>
          <t>REQ0305661</t>
        </is>
      </c>
      <c r="D21" s="11" t="inlineStr">
        <is>
          <t>SCTASK0489536</t>
        </is>
      </c>
      <c r="E21" s="11" t="n"/>
      <c r="F21" s="11" t="n">
        <v>0</v>
      </c>
      <c r="G21" s="11" t="inlineStr">
        <is>
          <t>INTERFACE</t>
        </is>
      </c>
      <c r="H21" s="33" t="inlineStr">
        <is>
          <t>NOVO DESENVOLVIMENTO</t>
        </is>
      </c>
      <c r="I21" s="32" t="inlineStr">
        <is>
          <t>ensemble@thyssenkruppelevadores.com.br</t>
        </is>
      </c>
      <c r="J21" s="33" t="inlineStr">
        <is>
          <t>Giovani Perotto Mesquita</t>
        </is>
      </c>
      <c r="K21" s="11">
        <f>_xlfn.XLOOKUP(Planilha!$J21,Tabela9[Pessoas],Tabela9[UUID Jira])</f>
        <v/>
      </c>
      <c r="L21" s="33" t="inlineStr">
        <is>
          <t>Regina Albanus</t>
        </is>
      </c>
      <c r="M21" s="11">
        <f>_xlfn.XLOOKUP(Planilha!$L21,Tabela9[Pessoas],Tabela9[UUID Jira])</f>
        <v/>
      </c>
      <c r="N21" s="11" t="inlineStr">
        <is>
          <t>Implementar a correção da informação apresentada na coluna Centro de Distribuição no relatório Mapa de Fabricação/Expedição do AIT</t>
        </is>
      </c>
      <c r="O21" s="11" t="inlineStr">
        <is>
          <t>Implementar a correção da informação apresentada na coluna Centro de Distribuição no relatório Mapa de Fabricação/Expedição do AIT</t>
        </is>
      </c>
      <c r="P21" s="48" t="inlineStr">
        <is>
          <t>Implementar a correção da informação apresentada na coluna Centro de Distribuição no relatório Mapa de Fabricação/Expedição do AIT</t>
        </is>
      </c>
      <c r="Q21" s="11" t="inlineStr">
        <is>
          <t>Análise Técnica</t>
        </is>
      </c>
      <c r="R21" s="37" t="inlineStr">
        <is>
          <t>🧾 Requisito Definido
Implementar a correção da informação apresentada na coluna Centro de Distribuição no relatório Mapa de Fabricação/Expedição do AIT, conforme necessidade identificada após alteração de lógica realizada no GUS, garantindo consistência das informações apresentadas aos usuários.
🧑‍💼 Contato
Izabel Zanotelli Haas
Rafael Villar Dornelles
Rayanne Rosa dos Santos
Tiago Fogaça
📖 Título da User Story
Como usuário do relatório Mapa de Fabricação/Expedição, quero visualizar corretamente a informação da coluna Centro de Distribuição, para que os dados operacionais reflitam a lógica atual do negócio e possam ser utilizados com segurança na tomada de decisão.
📊 Priorização
Prioridade: Alta
Justificativa
Impacta a confiabilidade dos dados apresentados aos usuários.
Existe histórico de incidentes relacionados à divergência da informação.
A correção depende de alinhamento entre sistemas integrados (GUS e AIT).
Afeta a consistência das informações utilizadas nos processos operacionais.
🔍 Processo Atual (AS IS)
Foi identificada divergência na coluna "Centro de Distribuição".
A lógica de negócio foi alterada no GUS sem comunicação prévia ao AIT.
Um incidente foi aberto para tratar a divergência, porém foi cancelado por se tratar de uma alteração de negócio.
Existe uma alteração anterior relacionada à inclusão de novas colunas que foi desenvolvida em QA, porém nunca validada e será descartada.
🚀 Processo Futuro (TO BE)
O relatório Mapa de Fabricação/Expedição deverá apresentar corretamente a informação da coluna Centro de Distribuição.
A regra implementada deverá refletir a lógica atual utilizada pelo GUS.
A solução será tratada por meio de solicitação formal de alteração no fluxo do AIT.
Alterações não validadas anteriormente serão descartadas para evitar inconsistências no ambiente.
🎯 Objetivo da Mudança
Garantir a consistência das informações do relatório Mapa de Fabricação/Expedição, eliminando divergências entre os sistemas envolvidos e aumentando a confiabilidade dos dados utilizados pelas áreas de negócio.
❌ Fora de Escopo
Inclusão das duas novas colunas desenvolvidas anteriormente para o incidente 779404.
Novos desenvolvimentos não relacionados à correção da coluna Centro de Distribuição.
Alterações em processos não citados no documento.
Evoluções funcionais em SAP, GUS ou IRIS além das explicitamente mencionadas.
✅ Critérios de Aceite (BDD)
Cenário 1: Exibição correta da coluna Centro de Distribuição
Dado que o usuário acessa o relatório Mapa de Fabricação/Expedição
Quando consultar registros que possuam informação de Centro de Distribuição
Então o valor exibido deverá refletir a regra de negócio vigente
Cenário 2: Consistência dos dados
Dado que existe integração de informações entre sistemas
Quando os dados forem apresentados no relatório
Então a informação de Centro de Distribuição deverá estar consistente com a origem definida pela regra de negócio
Cenário 3: Descarte das alterações não aprovadas
Dado que existem alterações desenvolvidas em QA referentes ao incidente 779404
Quando a entrega for promovida
Então as alterações não validadas deverão permanecer descartadas
🧪 Cenários de Teste de Validação
Cenário 1
Pré-condições
Ambiente disponível para testes.
Registros com Centro de Distribuição cadastrados.
Passos
Acessar o relatório.
Realizar consulta de registros.
Validar a informação apresentada.
Resultado Esperado
Valor exibido corretamente conforme a regra de negócio vigente.
Cenário 2
Pré-condições
Dados disponíveis no sistema de origem.
Passos
Comparar informação da origem com o relatório.
Validar registros amostrais.
Resultado Esperado
Não existir divergência entre origem e relatório.
Cenário 3
Pré-condições
Ambiente QA contendo histórico das alterações descartadas.
Passos
Validar estrutura do relatório.
Verificar se as colunas descartadas não foram promovidas.
Resultado Esperado
As colunas descartadas permanecem ausentes da solução final.
❌ Cenários de Teste de Rejeição
Cenário 1
Quando a coluna Centro de Distribuição apresentar valor divergente da regra definida
Então a implementação deverá ser rejeitada.
Cenário 2
Quando as colunas descartadas do incidente 779404 forem disponibilizadas novamente
Então a implementação deverá ser rejeitada.
Cenário 3
Quando a correção impactar negativamente a visualização de outros dados do relatório
Então a implementação deverá ser rejeitada.
🔄 Cenários de Teste de Regressão
Cenário 1
Validar a execução normal do relatório Mapa de Fabricação/Expedição.
Cenário 2
Validar exportação para Excel sem perda de informações.
Cenário 3
Validar filtros existentes do relatório.
Cenário 4
Validar carregamento e consulta dos demais campos do relatório.
Cenário 5
Validar que não houve impacto em integrações já existentes entre os sistemas envolvidos.
🧭 Sugestão de Cutover
Comunicação
Informar usuários sobre a correção realizada no relatório.
Governança
Registrar a alteração por meio do fluxo formal de solicitação.
Validação
Executar testes integrados e validação com usuários-chave.
Produção
Publicar a correção após aprovação dos testes.
Pós-implantação
Monitorar consultas realizadas no relatório e registrar eventuais divergências identificadas.
📈 Score (GUT)
Critério	NotaGravidade	4
Urgência	4
Tendência	4
Resultado GUT
64 (4 × 4 × 4)
Classificação
Alta Prioridade
Justificativa: a divergência afeta a confiabilidade das informações de negócio, já gerou incidentes anteriormente e tende a continuar gerando retrabalho e inconsistências caso não seja corrigida.</t>
        </is>
      </c>
      <c r="S21" s="10" t="n">
        <v>6</v>
      </c>
      <c r="T21" s="11">
        <f>_xlfn.XLOOKUP(S21,Tabela4[Horas],Tabela4[Pontos],,1)</f>
        <v/>
      </c>
      <c r="U21" s="11" t="inlineStr">
        <is>
          <t>ENS-10762</t>
        </is>
      </c>
      <c r="V21" s="11" t="inlineStr">
        <is>
          <t>ENS-10763</t>
        </is>
      </c>
      <c r="W21" s="11" t="inlineStr">
        <is>
          <t>ENS-10764</t>
        </is>
      </c>
      <c r="X21" s="43" t="n"/>
      <c r="Y21" s="44">
        <f>HYPERLINK("https://tkebrasil.atlassian.net/browse/" &amp; U21,U21)</f>
        <v/>
      </c>
      <c r="Z21" s="44">
        <f>HYPERLINK("https://tkebrasil.atlassian.net/browse/" &amp; V21,V21)</f>
        <v/>
      </c>
      <c r="AA21" s="44">
        <f>HYPERLINK("https://tkebrasil.atlassian.net/browse/" &amp; W21,W21)</f>
        <v/>
      </c>
      <c r="AB21" s="43" t="n"/>
      <c r="AC21" s="45" t="inlineStr">
        <is>
          <t>X</t>
        </is>
      </c>
      <c r="AD21" s="45" t="inlineStr">
        <is>
          <t>BL</t>
        </is>
      </c>
    </row>
    <row r="22" ht="15" customHeight="1">
      <c r="A22" s="28" t="inlineStr">
        <is>
          <t>ENS</t>
        </is>
      </c>
      <c r="B22" s="29" t="inlineStr">
        <is>
          <t>2026-08-10</t>
        </is>
      </c>
      <c r="C22" s="28" t="inlineStr">
        <is>
          <t>REQ0394292</t>
        </is>
      </c>
      <c r="D22" s="11" t="inlineStr">
        <is>
          <t>SCTASK0557644</t>
        </is>
      </c>
      <c r="E22" s="36" t="n"/>
      <c r="F22" s="36" t="n">
        <v>0</v>
      </c>
      <c r="G22" s="11" t="inlineStr">
        <is>
          <t>INTERFACE</t>
        </is>
      </c>
      <c r="H22" s="33" t="inlineStr">
        <is>
          <t>ALTERAÇÃO</t>
        </is>
      </c>
      <c r="I22" s="32" t="inlineStr">
        <is>
          <t>ensemble@thyssenkruppelevadores.com.br</t>
        </is>
      </c>
      <c r="J22" s="33" t="inlineStr">
        <is>
          <t>Giovani Perotto Mesquita</t>
        </is>
      </c>
      <c r="K22" s="11">
        <f>_xlfn.XLOOKUP(Planilha!$J22,Tabela9[Pessoas],Tabela9[UUID Jira])</f>
        <v/>
      </c>
      <c r="L22" s="41" t="inlineStr">
        <is>
          <t>Pablo Rocha</t>
        </is>
      </c>
      <c r="M22" s="11">
        <f>_xlfn.XLOOKUP(Planilha!$L22,Tabela9[Pessoas],Tabela9[UUID Jira])</f>
        <v/>
      </c>
      <c r="N22" s="11" t="inlineStr">
        <is>
          <t>Atualizar as interfaces NotifyEvent, RegisterDevice, MasterData Elevator e MasterData Escalator do endpoint MAX v2 Service BlueBox, conforme o novo arquivo WSDL, garantindo inclusão dos novos campos necessários.</t>
        </is>
      </c>
      <c r="O22" s="11" t="inlineStr">
        <is>
          <t>Alterar documentação</t>
        </is>
      </c>
      <c r="P22" s="11" t="inlineStr">
        <is>
          <t>Alterar documentação</t>
        </is>
      </c>
      <c r="Q22" s="11" t="inlineStr">
        <is>
          <t>Execução de Testes</t>
        </is>
      </c>
      <c r="R22" s="39" t="inlineStr">
        <is>
          <t>🧾 User Story 1: Atualização das Interfaces MAX conforme novo WSDL
🧾 Defined Requirement:
Atualizar as interfaces NotifyEvent, RegisterDevice, MasterData Elevator e MasterData Escalator do endpoint MAX v2 Service BlueBox, conforme o novo arquivo WSDL, garantindo inclusão dos novos campos necessários.
🧑‍💼 Contact:
Equipe de Desenvolvimento MAX, Área de Negócios, TI Integrations.
📖 Story Title:
Como usuário do sistema MAX, quero que as interfaces sejam atualizadas conforme o novo WSDL, para que as integrações funcionem corretamente e suportem novas funcionalidades de negócio.
📊 Prioritization:
Alta. Justificativa: Essencial para habilitar a feature Auto Remote Reset no Brasil e garantir compliance com requisitos de negócio.
🔍 Current Process (AS IS):
Interfaces operam com campos antigos, não suportando novas funcionalidades e campos exigidos pelo negócio.
🚀 Future Process (TO BE):
Interfaces atualizadas, suportando todos os campos do novo WSDL, permitindo integração completa e novas funcionalidades.
🎯 Change Objective:
Garantir que o sistema suporte novas demandas de negócio, evitando retrabalho e falhas de integração.
❌ Out of Scope:
Alterações em sistemas externos ao MAX, desenvolvimento de novas funcionalidades não previstas no WSDL.
✅ Acceptance Criteria (BDD):
Dado que o novo WSDL foi disponibilizado,
Quando as interfaces forem atualizadas,
Então todos os campos definidos no WSDL devem estar presentes e funcionais nas integrações.
🧪 Validation Test Scenarios:
Pré-condição: Novo WSDL disponível.
Passos: Atualizar interfaces, realizar testes de integração, verificar inclusão dos campos.
Resultado esperado: Interfaces funcionam conforme especificação, campos presentes e integrados.
❌ Rejection Test Scenarios:
Interfaces não atualizadas conforme WSDL.
Campos ausentes ou com erro de integração.
🔄 Regression Test Scenarios:
Testar funcionalidades antigas das interfaces para garantir que não houve quebra após atualização.
🧭 Cutover Suggestion:
Comunicar stakeholders, realizar treinamento rápido sobre novos campos, migrar dados se necessário, executar testes em produção.
📈 Score (GUT):
Gravidade: 5 (impacto direto no negócio)
Urgência: 5 (dependência para novas funcionalidades)
Tendência: 4 (demanda crescente por integrações)</t>
        </is>
      </c>
      <c r="S22" s="34" t="n">
        <v>4</v>
      </c>
      <c r="T22" s="11">
        <f>_xlfn.XLOOKUP(S22,Tabela4[Horas],Tabela4[Pontos],,1)</f>
        <v/>
      </c>
      <c r="U22" s="11" t="inlineStr">
        <is>
          <t>ENS-8650</t>
        </is>
      </c>
      <c r="V22" s="11" t="inlineStr">
        <is>
          <t>ENS-10765</t>
        </is>
      </c>
      <c r="W22" s="11" t="inlineStr">
        <is>
          <t>ENS-10766</t>
        </is>
      </c>
      <c r="X22" s="46" t="n"/>
      <c r="Y22" s="44">
        <f>HYPERLINK("https://tkebrasil.atlassian.net/browse/" &amp; U22,U22)</f>
        <v/>
      </c>
      <c r="Z22" s="44">
        <f>HYPERLINK("https://tkebrasil.atlassian.net/browse/" &amp; V22,V22)</f>
        <v/>
      </c>
      <c r="AA22" s="44">
        <f>HYPERLINK("https://tkebrasil.atlassian.net/browse/" &amp; W22,W22)</f>
        <v/>
      </c>
      <c r="AB22" s="46" t="n"/>
      <c r="AC22" s="47" t="inlineStr">
        <is>
          <t>X</t>
        </is>
      </c>
      <c r="AD22" s="47" t="inlineStr">
        <is>
          <t>BL</t>
        </is>
      </c>
      <c r="AE22" s="4" t="n"/>
    </row>
    <row r="23" ht="15" customHeight="1">
      <c r="A23" s="28" t="inlineStr">
        <is>
          <t>ENS</t>
        </is>
      </c>
      <c r="B23" s="29" t="inlineStr">
        <is>
          <t>2026-08-10</t>
        </is>
      </c>
      <c r="C23" s="11" t="n">
        <v>0</v>
      </c>
      <c r="D23" s="11" t="n">
        <v>0</v>
      </c>
      <c r="E23" s="36" t="n"/>
      <c r="F23" s="36" t="n">
        <v>0</v>
      </c>
      <c r="G23" s="11" t="inlineStr">
        <is>
          <t>INTERFACE</t>
        </is>
      </c>
      <c r="H23" s="33" t="inlineStr">
        <is>
          <t>ALTERAÇÃO</t>
        </is>
      </c>
      <c r="I23" s="32" t="inlineStr">
        <is>
          <t>ensemble@thyssenkruppelevadores.com.br</t>
        </is>
      </c>
      <c r="J23" s="33" t="inlineStr">
        <is>
          <t>Giovani Perotto Mesquita</t>
        </is>
      </c>
      <c r="K23" s="11">
        <f>_xlfn.XLOOKUP(Planilha!$J23,Tabela9[Pessoas],Tabela9[UUID Jira])</f>
        <v/>
      </c>
      <c r="L23" s="41" t="inlineStr">
        <is>
          <t>Luis Henrique Petkovicz</t>
        </is>
      </c>
      <c r="M23" s="11">
        <f>_xlfn.XLOOKUP(Planilha!$L23,Tabela9[Pessoas],Tabela9[UUID Jira])</f>
        <v/>
      </c>
      <c r="N23" s="11" t="inlineStr">
        <is>
          <t>Analisar de depreciação de interfaces</t>
        </is>
      </c>
      <c r="O23" s="11" t="inlineStr">
        <is>
          <t>Analisar de depreciação de interfaces</t>
        </is>
      </c>
      <c r="P23" s="11" t="inlineStr">
        <is>
          <t>Analisar de depreciação de interfaces</t>
        </is>
      </c>
      <c r="Q23" s="11" t="inlineStr">
        <is>
          <t>Implementação</t>
        </is>
      </c>
      <c r="R23" s="11" t="inlineStr">
        <is>
          <t>Analisar de depreciação de interfaces</t>
        </is>
      </c>
      <c r="S23" s="34" t="n">
        <v>6</v>
      </c>
      <c r="T23" s="11">
        <f>_xlfn.XLOOKUP(S23,Tabela4[Horas],Tabela4[Pontos],,1)</f>
        <v/>
      </c>
      <c r="U23" s="11" t="inlineStr">
        <is>
          <t>ENS-10767</t>
        </is>
      </c>
      <c r="V23" s="11" t="inlineStr">
        <is>
          <t>ENS-10768</t>
        </is>
      </c>
      <c r="W23" s="11" t="inlineStr">
        <is>
          <t>ENS-10769</t>
        </is>
      </c>
      <c r="X23" s="46" t="n"/>
      <c r="Y23" s="44">
        <f>HYPERLINK("https://tkebrasil.atlassian.net/browse/" &amp; U23,U23)</f>
        <v/>
      </c>
      <c r="Z23" s="44">
        <f>HYPERLINK("https://tkebrasil.atlassian.net/browse/" &amp; V23,V23)</f>
        <v/>
      </c>
      <c r="AA23" s="44">
        <f>HYPERLINK("https://tkebrasil.atlassian.net/browse/" &amp; W23,W23)</f>
        <v/>
      </c>
      <c r="AB23" s="46" t="n"/>
      <c r="AC23" s="47" t="inlineStr">
        <is>
          <t>X</t>
        </is>
      </c>
      <c r="AD23" s="47" t="inlineStr">
        <is>
          <t>BL</t>
        </is>
      </c>
    </row>
    <row r="24" ht="15" customHeight="1">
      <c r="A24" s="28" t="inlineStr">
        <is>
          <t>ENS</t>
        </is>
      </c>
      <c r="B24" s="29" t="inlineStr">
        <is>
          <t>2026-08-10</t>
        </is>
      </c>
      <c r="C24" s="11" t="n">
        <v>0</v>
      </c>
      <c r="D24" s="11" t="n">
        <v>0</v>
      </c>
      <c r="E24" s="36" t="n"/>
      <c r="F24" s="36" t="n">
        <v>0</v>
      </c>
      <c r="G24" s="11" t="inlineStr">
        <is>
          <t>INTERFACE</t>
        </is>
      </c>
      <c r="H24" s="33" t="inlineStr">
        <is>
          <t>ALTERAÇÃO</t>
        </is>
      </c>
      <c r="I24" s="32" t="inlineStr">
        <is>
          <t>ensemble@thyssenkruppelevadores.com.br</t>
        </is>
      </c>
      <c r="J24" s="33" t="inlineStr">
        <is>
          <t>Giovani Perotto Mesquita</t>
        </is>
      </c>
      <c r="K24" s="11">
        <f>_xlfn.XLOOKUP(Planilha!$J24,Tabela9[Pessoas],Tabela9[UUID Jira])</f>
        <v/>
      </c>
      <c r="L24" s="41" t="inlineStr">
        <is>
          <t>Luis Henrique Petkovicz</t>
        </is>
      </c>
      <c r="M24" s="11">
        <f>_xlfn.XLOOKUP(Planilha!$L24,Tabela9[Pessoas],Tabela9[UUID Jira])</f>
        <v/>
      </c>
      <c r="N24" s="11" t="inlineStr">
        <is>
          <t>Épico 1</t>
        </is>
      </c>
      <c r="O24" s="11" t="inlineStr">
        <is>
          <t>Atividade 1</t>
        </is>
      </c>
      <c r="P24" s="11" t="inlineStr">
        <is>
          <t>Tarefa 1</t>
        </is>
      </c>
      <c r="Q24" s="11" t="inlineStr">
        <is>
          <t>Implementação</t>
        </is>
      </c>
      <c r="R24"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4" s="34" t="n">
        <v>2</v>
      </c>
      <c r="T24" s="11">
        <f>_xlfn.XLOOKUP(S24,Tabela4[Horas],Tabela4[Pontos],,1)</f>
        <v/>
      </c>
      <c r="U24" s="11" t="inlineStr">
        <is>
          <t>ENS-10770</t>
        </is>
      </c>
      <c r="V24" s="11" t="inlineStr">
        <is>
          <t>ENS-10771</t>
        </is>
      </c>
      <c r="W24" s="11" t="inlineStr">
        <is>
          <t>ENS-10772</t>
        </is>
      </c>
      <c r="X24" s="46" t="n"/>
      <c r="Y24" s="44">
        <f>HYPERLINK("https://tkebrasil.atlassian.net/browse/" &amp; U24,U24)</f>
        <v/>
      </c>
      <c r="Z24" s="44">
        <f>HYPERLINK("https://tkebrasil.atlassian.net/browse/" &amp; V24,V24)</f>
        <v/>
      </c>
      <c r="AA24" s="44">
        <f>HYPERLINK("https://tkebrasil.atlassian.net/browse/" &amp; W24,W24)</f>
        <v/>
      </c>
      <c r="AB24" s="46" t="n"/>
      <c r="AC24" s="47" t="n"/>
      <c r="AD24" s="47" t="inlineStr">
        <is>
          <t>BL</t>
        </is>
      </c>
    </row>
    <row r="25" ht="15" customHeight="1">
      <c r="A25" s="28" t="inlineStr">
        <is>
          <t>ENS</t>
        </is>
      </c>
      <c r="B25" s="29" t="inlineStr">
        <is>
          <t>2026-08-10</t>
        </is>
      </c>
      <c r="C25" s="11" t="n">
        <v>0</v>
      </c>
      <c r="D25" s="11" t="n">
        <v>0</v>
      </c>
      <c r="E25" s="36" t="n"/>
      <c r="F25" s="36" t="n">
        <v>0</v>
      </c>
      <c r="G25" s="11" t="inlineStr">
        <is>
          <t>INTERFACE</t>
        </is>
      </c>
      <c r="H25" s="33" t="inlineStr">
        <is>
          <t>ALTERAÇÃO</t>
        </is>
      </c>
      <c r="I25" s="32" t="inlineStr">
        <is>
          <t>ensemble@thyssenkruppelevadores.com.br</t>
        </is>
      </c>
      <c r="J25" s="33" t="inlineStr">
        <is>
          <t>Giovani Perotto Mesquita</t>
        </is>
      </c>
      <c r="K25" s="11">
        <f>_xlfn.XLOOKUP(Planilha!$J25,Tabela9[Pessoas],Tabela9[UUID Jira])</f>
        <v/>
      </c>
      <c r="L25" s="41" t="inlineStr">
        <is>
          <t>Luis Henrique Petkovicz</t>
        </is>
      </c>
      <c r="M25" s="11">
        <f>_xlfn.XLOOKUP(Planilha!$L25,Tabela9[Pessoas],Tabela9[UUID Jira])</f>
        <v/>
      </c>
      <c r="N25" s="11" t="inlineStr">
        <is>
          <t>Épico 2</t>
        </is>
      </c>
      <c r="O25" s="11" t="inlineStr">
        <is>
          <t>Atividade 2</t>
        </is>
      </c>
      <c r="P25" s="11" t="inlineStr">
        <is>
          <t>Tarefa 2</t>
        </is>
      </c>
      <c r="Q25" s="11" t="inlineStr">
        <is>
          <t>Implementação</t>
        </is>
      </c>
      <c r="R2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5" s="34" t="n">
        <v>2</v>
      </c>
      <c r="T25" s="11">
        <f>_xlfn.XLOOKUP(S25,Tabela4[Horas],Tabela4[Pontos],,1)</f>
        <v/>
      </c>
      <c r="U25" s="11" t="inlineStr">
        <is>
          <t>ENS-10773</t>
        </is>
      </c>
      <c r="V25" s="11" t="inlineStr">
        <is>
          <t>ENS-10774</t>
        </is>
      </c>
      <c r="W25" s="11" t="inlineStr">
        <is>
          <t>ENS-10775</t>
        </is>
      </c>
      <c r="X25" s="46" t="n"/>
      <c r="Y25" s="44">
        <f>HYPERLINK("https://tkebrasil.atlassian.net/browse/" &amp; U25,U25)</f>
        <v/>
      </c>
      <c r="Z25" s="44">
        <f>HYPERLINK("https://tkebrasil.atlassian.net/browse/" &amp; V25,V25)</f>
        <v/>
      </c>
      <c r="AA25" s="44">
        <f>HYPERLINK("https://tkebrasil.atlassian.net/browse/" &amp; W25,W25)</f>
        <v/>
      </c>
      <c r="AB25" s="46" t="n"/>
      <c r="AC25" s="47" t="n"/>
      <c r="AD25" s="47" t="inlineStr">
        <is>
          <t>BL</t>
        </is>
      </c>
    </row>
    <row r="26" ht="15" customHeight="1">
      <c r="A26" s="28" t="inlineStr">
        <is>
          <t>ENS</t>
        </is>
      </c>
      <c r="B26" s="29" t="inlineStr">
        <is>
          <t>2026-08-10</t>
        </is>
      </c>
      <c r="C26" s="11" t="n">
        <v>0</v>
      </c>
      <c r="D26" s="11" t="n">
        <v>0</v>
      </c>
      <c r="E26" s="36" t="n"/>
      <c r="F26" s="36" t="n">
        <v>0</v>
      </c>
      <c r="G26" s="11" t="inlineStr">
        <is>
          <t>INTERFACE</t>
        </is>
      </c>
      <c r="H26" s="33" t="inlineStr">
        <is>
          <t>ALTERAÇÃO</t>
        </is>
      </c>
      <c r="I26" s="32" t="inlineStr">
        <is>
          <t>ensemble@thyssenkruppelevadores.com.br</t>
        </is>
      </c>
      <c r="J26" s="33" t="inlineStr">
        <is>
          <t>Giovani Perotto Mesquita</t>
        </is>
      </c>
      <c r="K26" s="11">
        <f>_xlfn.XLOOKUP(Planilha!$J26,Tabela9[Pessoas],Tabela9[UUID Jira])</f>
        <v/>
      </c>
      <c r="L26" s="41" t="inlineStr">
        <is>
          <t>Luis Henrique Petkovicz</t>
        </is>
      </c>
      <c r="M26" s="11">
        <f>_xlfn.XLOOKUP(Planilha!$L26,Tabela9[Pessoas],Tabela9[UUID Jira])</f>
        <v/>
      </c>
      <c r="N26" s="11" t="inlineStr">
        <is>
          <t>Épico 3</t>
        </is>
      </c>
      <c r="O26" s="11" t="inlineStr">
        <is>
          <t>Atividade 3</t>
        </is>
      </c>
      <c r="P26" s="11" t="inlineStr">
        <is>
          <t>Tarefa 3</t>
        </is>
      </c>
      <c r="Q26" s="11" t="inlineStr">
        <is>
          <t>Implementação</t>
        </is>
      </c>
      <c r="R26"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6" s="34" t="n">
        <v>2</v>
      </c>
      <c r="T26" s="11">
        <f>_xlfn.XLOOKUP(S26,Tabela4[Horas],Tabela4[Pontos],,1)</f>
        <v/>
      </c>
      <c r="U26" s="11" t="inlineStr">
        <is>
          <t>ENS-10776</t>
        </is>
      </c>
      <c r="V26" s="11" t="inlineStr">
        <is>
          <t>ENS-10777</t>
        </is>
      </c>
      <c r="W26" s="11" t="inlineStr">
        <is>
          <t>ENS-10778</t>
        </is>
      </c>
      <c r="X26" s="46" t="n"/>
      <c r="Y26" s="44">
        <f>HYPERLINK("https://tkebrasil.atlassian.net/browse/" &amp; U26,U26)</f>
        <v/>
      </c>
      <c r="Z26" s="44">
        <f>HYPERLINK("https://tkebrasil.atlassian.net/browse/" &amp; V26,V26)</f>
        <v/>
      </c>
      <c r="AA26" s="44">
        <f>HYPERLINK("https://tkebrasil.atlassian.net/browse/" &amp; W26,W26)</f>
        <v/>
      </c>
      <c r="AB26" s="46" t="n"/>
      <c r="AC26" s="47" t="n"/>
      <c r="AD26" s="47" t="inlineStr">
        <is>
          <t>BL</t>
        </is>
      </c>
    </row>
    <row r="27" ht="15" customHeight="1">
      <c r="A27" s="28" t="inlineStr">
        <is>
          <t>ENS</t>
        </is>
      </c>
      <c r="B27" s="29" t="inlineStr">
        <is>
          <t>2026-08-10</t>
        </is>
      </c>
      <c r="C27" s="11" t="n">
        <v>0</v>
      </c>
      <c r="D27" s="11" t="n">
        <v>0</v>
      </c>
      <c r="E27" s="36" t="n"/>
      <c r="F27" s="36" t="n">
        <v>0</v>
      </c>
      <c r="G27" s="11" t="inlineStr">
        <is>
          <t>INTERFACE</t>
        </is>
      </c>
      <c r="H27" s="33" t="inlineStr">
        <is>
          <t>ALTERAÇÃO</t>
        </is>
      </c>
      <c r="I27" s="32" t="inlineStr">
        <is>
          <t>ensemble@thyssenkruppelevadores.com.br</t>
        </is>
      </c>
      <c r="J27" s="33" t="inlineStr">
        <is>
          <t>Giovani Perotto Mesquita</t>
        </is>
      </c>
      <c r="K27" s="11">
        <f>_xlfn.XLOOKUP(Planilha!$J27,Tabela9[Pessoas],Tabela9[UUID Jira])</f>
        <v/>
      </c>
      <c r="L27" s="41" t="inlineStr">
        <is>
          <t>Luis Henrique Petkovicz</t>
        </is>
      </c>
      <c r="M27" s="11">
        <f>_xlfn.XLOOKUP(Planilha!$L27,Tabela9[Pessoas],Tabela9[UUID Jira])</f>
        <v/>
      </c>
      <c r="N27" s="11" t="inlineStr">
        <is>
          <t>Épico 4</t>
        </is>
      </c>
      <c r="O27" s="11" t="inlineStr">
        <is>
          <t>Atividade 4</t>
        </is>
      </c>
      <c r="P27" s="11" t="inlineStr">
        <is>
          <t>Tarefa 4</t>
        </is>
      </c>
      <c r="Q27" s="11" t="inlineStr">
        <is>
          <t>Implementação</t>
        </is>
      </c>
      <c r="R27"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7" s="34" t="n">
        <v>2</v>
      </c>
      <c r="T27" s="11">
        <f>_xlfn.XLOOKUP(S27,Tabela4[Horas],Tabela4[Pontos],,1)</f>
        <v/>
      </c>
      <c r="U27" s="11" t="inlineStr">
        <is>
          <t>ENS-10779</t>
        </is>
      </c>
      <c r="V27" s="11" t="inlineStr">
        <is>
          <t>ENS-10780</t>
        </is>
      </c>
      <c r="W27" s="11" t="inlineStr">
        <is>
          <t>ENS-10781</t>
        </is>
      </c>
      <c r="X27" s="46" t="n"/>
      <c r="Y27" s="44">
        <f>HYPERLINK("https://tkebrasil.atlassian.net/browse/" &amp; U27,U27)</f>
        <v/>
      </c>
      <c r="Z27" s="44">
        <f>HYPERLINK("https://tkebrasil.atlassian.net/browse/" &amp; V27,V27)</f>
        <v/>
      </c>
      <c r="AA27" s="44">
        <f>HYPERLINK("https://tkebrasil.atlassian.net/browse/" &amp; W27,W27)</f>
        <v/>
      </c>
      <c r="AB27" s="46" t="n"/>
      <c r="AC27" s="47" t="n"/>
      <c r="AD27" s="47" t="inlineStr">
        <is>
          <t>BL</t>
        </is>
      </c>
    </row>
    <row r="28" ht="15" customHeight="1">
      <c r="A28" s="28" t="inlineStr">
        <is>
          <t>ENS</t>
        </is>
      </c>
      <c r="B28" s="29" t="inlineStr">
        <is>
          <t>2026-08-10</t>
        </is>
      </c>
      <c r="C28" s="11" t="n">
        <v>0</v>
      </c>
      <c r="D28" s="11" t="n">
        <v>0</v>
      </c>
      <c r="E28" s="36" t="n"/>
      <c r="F28" s="36" t="n">
        <v>0</v>
      </c>
      <c r="G28" s="11" t="inlineStr">
        <is>
          <t>INTERFACE</t>
        </is>
      </c>
      <c r="H28" s="33" t="inlineStr">
        <is>
          <t>ALTERAÇÃO</t>
        </is>
      </c>
      <c r="I28" s="32" t="inlineStr">
        <is>
          <t>ensemble@thyssenkruppelevadores.com.br</t>
        </is>
      </c>
      <c r="J28" s="33" t="inlineStr">
        <is>
          <t>Giovani Perotto Mesquita</t>
        </is>
      </c>
      <c r="K28" s="11">
        <f>_xlfn.XLOOKUP(Planilha!$J28,Tabela9[Pessoas],Tabela9[UUID Jira])</f>
        <v/>
      </c>
      <c r="L28" s="41" t="inlineStr">
        <is>
          <t>Luis Henrique Petkovicz</t>
        </is>
      </c>
      <c r="M28" s="11">
        <f>_xlfn.XLOOKUP(Planilha!$L28,Tabela9[Pessoas],Tabela9[UUID Jira])</f>
        <v/>
      </c>
      <c r="N28" s="11" t="inlineStr">
        <is>
          <t>Épico 5</t>
        </is>
      </c>
      <c r="O28" s="11" t="inlineStr">
        <is>
          <t>Atividade 5</t>
        </is>
      </c>
      <c r="P28" s="11" t="inlineStr">
        <is>
          <t>Tarefa 5</t>
        </is>
      </c>
      <c r="Q28" s="11" t="inlineStr">
        <is>
          <t>Implementação</t>
        </is>
      </c>
      <c r="R28"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8" s="34" t="n">
        <v>2</v>
      </c>
      <c r="T28" s="11">
        <f>_xlfn.XLOOKUP(S28,Tabela4[Horas],Tabela4[Pontos],,1)</f>
        <v/>
      </c>
      <c r="U28" s="11" t="inlineStr">
        <is>
          <t>ENS-10782</t>
        </is>
      </c>
      <c r="V28" s="11" t="inlineStr">
        <is>
          <t>ENS-10783</t>
        </is>
      </c>
      <c r="W28" s="11" t="inlineStr">
        <is>
          <t>ENS-10784</t>
        </is>
      </c>
      <c r="X28" s="46" t="n"/>
      <c r="Y28" s="44">
        <f>HYPERLINK("https://tkebrasil.atlassian.net/browse/" &amp; U28,U28)</f>
        <v/>
      </c>
      <c r="Z28" s="44">
        <f>HYPERLINK("https://tkebrasil.atlassian.net/browse/" &amp; V28,V28)</f>
        <v/>
      </c>
      <c r="AA28" s="44">
        <f>HYPERLINK("https://tkebrasil.atlassian.net/browse/" &amp; W28,W28)</f>
        <v/>
      </c>
      <c r="AB28" s="46" t="n"/>
      <c r="AC28" s="47" t="n"/>
      <c r="AD28" s="47" t="inlineStr">
        <is>
          <t>BL</t>
        </is>
      </c>
    </row>
    <row r="29" ht="15" customHeight="1">
      <c r="A29" s="28" t="inlineStr">
        <is>
          <t>ENS</t>
        </is>
      </c>
      <c r="B29" s="29" t="inlineStr">
        <is>
          <t>2026-08-10</t>
        </is>
      </c>
      <c r="C29" s="11" t="n">
        <v>0</v>
      </c>
      <c r="D29" s="11" t="n">
        <v>0</v>
      </c>
      <c r="E29" s="36" t="n"/>
      <c r="F29" s="36" t="n">
        <v>0</v>
      </c>
      <c r="G29" s="11" t="inlineStr">
        <is>
          <t>INTERFACE</t>
        </is>
      </c>
      <c r="H29" s="33" t="inlineStr">
        <is>
          <t>ALTERAÇÃO</t>
        </is>
      </c>
      <c r="I29" s="32" t="inlineStr">
        <is>
          <t>ensemble@thyssenkruppelevadores.com.br</t>
        </is>
      </c>
      <c r="J29" s="33" t="inlineStr">
        <is>
          <t>Giovani Perotto Mesquita</t>
        </is>
      </c>
      <c r="K29" s="11">
        <f>_xlfn.XLOOKUP(Planilha!$J29,Tabela9[Pessoas],Tabela9[UUID Jira])</f>
        <v/>
      </c>
      <c r="L29" s="33" t="inlineStr">
        <is>
          <t>Luiz Felipe Brandão da Silva</t>
        </is>
      </c>
      <c r="M29" s="11">
        <f>_xlfn.XLOOKUP(Planilha!$L29,Tabela9[Pessoas],Tabela9[UUID Jira])</f>
        <v/>
      </c>
      <c r="N29" s="11" t="inlineStr">
        <is>
          <t>Épico 6</t>
        </is>
      </c>
      <c r="O29" s="11" t="inlineStr">
        <is>
          <t>Atividade 6</t>
        </is>
      </c>
      <c r="P29" s="11" t="inlineStr">
        <is>
          <t>Tarefa 6</t>
        </is>
      </c>
      <c r="Q29" s="11" t="inlineStr">
        <is>
          <t>Implementação</t>
        </is>
      </c>
      <c r="R29"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29" s="34" t="n">
        <v>2</v>
      </c>
      <c r="T29" s="11">
        <f>_xlfn.XLOOKUP(S29,Tabela4[Horas],Tabela4[Pontos],,1)</f>
        <v/>
      </c>
      <c r="U29" s="11" t="inlineStr">
        <is>
          <t>ENS-10785</t>
        </is>
      </c>
      <c r="V29" s="11" t="inlineStr">
        <is>
          <t>ENS-10786</t>
        </is>
      </c>
      <c r="W29" s="11" t="inlineStr">
        <is>
          <t>ENS-10787</t>
        </is>
      </c>
      <c r="X29" s="46" t="n"/>
      <c r="Y29" s="44">
        <f>HYPERLINK("https://tkebrasil.atlassian.net/browse/" &amp; U29,U29)</f>
        <v/>
      </c>
      <c r="Z29" s="44">
        <f>HYPERLINK("https://tkebrasil.atlassian.net/browse/" &amp; V29,V29)</f>
        <v/>
      </c>
      <c r="AA29" s="44">
        <f>HYPERLINK("https://tkebrasil.atlassian.net/browse/" &amp; W29,W29)</f>
        <v/>
      </c>
      <c r="AB29" s="46" t="n"/>
      <c r="AC29" s="47" t="n"/>
      <c r="AD29" s="47" t="inlineStr">
        <is>
          <t>BL</t>
        </is>
      </c>
    </row>
    <row r="30" ht="15" customHeight="1">
      <c r="A30" s="28" t="inlineStr">
        <is>
          <t>ENS</t>
        </is>
      </c>
      <c r="B30" s="29" t="inlineStr">
        <is>
          <t>2026-08-10</t>
        </is>
      </c>
      <c r="C30" s="11" t="n">
        <v>0</v>
      </c>
      <c r="D30" s="11" t="n">
        <v>0</v>
      </c>
      <c r="E30" s="36" t="n"/>
      <c r="F30" s="36" t="n">
        <v>0</v>
      </c>
      <c r="G30" s="11" t="inlineStr">
        <is>
          <t>INTERFACE</t>
        </is>
      </c>
      <c r="H30" s="33" t="inlineStr">
        <is>
          <t>ALTERAÇÃO</t>
        </is>
      </c>
      <c r="I30" s="32" t="inlineStr">
        <is>
          <t>ensemble@thyssenkruppelevadores.com.br</t>
        </is>
      </c>
      <c r="J30" s="33" t="inlineStr">
        <is>
          <t>Giovani Perotto Mesquita</t>
        </is>
      </c>
      <c r="K30" s="11">
        <f>_xlfn.XLOOKUP(Planilha!$J30,Tabela9[Pessoas],Tabela9[UUID Jira])</f>
        <v/>
      </c>
      <c r="L30" s="33" t="inlineStr">
        <is>
          <t>Luiz Felipe Brandão da Silva</t>
        </is>
      </c>
      <c r="M30" s="11">
        <f>_xlfn.XLOOKUP(Planilha!$L30,Tabela9[Pessoas],Tabela9[UUID Jira])</f>
        <v/>
      </c>
      <c r="N30" s="11" t="inlineStr">
        <is>
          <t>Épico 7</t>
        </is>
      </c>
      <c r="O30" s="11" t="inlineStr">
        <is>
          <t>Atividade 7</t>
        </is>
      </c>
      <c r="P30" s="11" t="inlineStr">
        <is>
          <t>Tarefa 7</t>
        </is>
      </c>
      <c r="Q30" s="11" t="inlineStr">
        <is>
          <t>Implementação</t>
        </is>
      </c>
      <c r="R30"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0" s="34" t="n">
        <v>2</v>
      </c>
      <c r="T30" s="11">
        <f>_xlfn.XLOOKUP(S30,Tabela4[Horas],Tabela4[Pontos],,1)</f>
        <v/>
      </c>
      <c r="U30" s="11" t="inlineStr">
        <is>
          <t>ENS-10788</t>
        </is>
      </c>
      <c r="V30" s="11" t="inlineStr">
        <is>
          <t>ENS-10789</t>
        </is>
      </c>
      <c r="W30" s="11" t="inlineStr">
        <is>
          <t>ENS-10790</t>
        </is>
      </c>
      <c r="X30" s="46" t="n"/>
      <c r="Y30" s="44">
        <f>HYPERLINK("https://tkebrasil.atlassian.net/browse/" &amp; U30,U30)</f>
        <v/>
      </c>
      <c r="Z30" s="44">
        <f>HYPERLINK("https://tkebrasil.atlassian.net/browse/" &amp; V30,V30)</f>
        <v/>
      </c>
      <c r="AA30" s="44">
        <f>HYPERLINK("https://tkebrasil.atlassian.net/browse/" &amp; W30,W30)</f>
        <v/>
      </c>
      <c r="AB30" s="46" t="n"/>
      <c r="AC30" s="47" t="n"/>
      <c r="AD30" s="47" t="inlineStr">
        <is>
          <t>BL</t>
        </is>
      </c>
    </row>
    <row r="31" ht="15" customHeight="1">
      <c r="A31" s="28" t="inlineStr">
        <is>
          <t>ENS</t>
        </is>
      </c>
      <c r="B31" s="29" t="inlineStr">
        <is>
          <t>2026-08-10</t>
        </is>
      </c>
      <c r="C31" s="11" t="n">
        <v>0</v>
      </c>
      <c r="D31" s="11" t="n">
        <v>0</v>
      </c>
      <c r="E31" s="36" t="n"/>
      <c r="F31" s="36" t="n">
        <v>0</v>
      </c>
      <c r="G31" s="11" t="inlineStr">
        <is>
          <t>INTERFACE</t>
        </is>
      </c>
      <c r="H31" s="33" t="inlineStr">
        <is>
          <t>ALTERAÇÃO</t>
        </is>
      </c>
      <c r="I31" s="32" t="inlineStr">
        <is>
          <t>ensemble@thyssenkruppelevadores.com.br</t>
        </is>
      </c>
      <c r="J31" s="33" t="inlineStr">
        <is>
          <t>Giovani Perotto Mesquita</t>
        </is>
      </c>
      <c r="K31" s="11">
        <f>_xlfn.XLOOKUP(Planilha!$J31,Tabela9[Pessoas],Tabela9[UUID Jira])</f>
        <v/>
      </c>
      <c r="L31" s="33" t="inlineStr">
        <is>
          <t>Luiz Felipe Brandão da Silva</t>
        </is>
      </c>
      <c r="M31" s="11">
        <f>_xlfn.XLOOKUP(Planilha!$L31,Tabela9[Pessoas],Tabela9[UUID Jira])</f>
        <v/>
      </c>
      <c r="N31" s="11" t="inlineStr">
        <is>
          <t>Épico 8</t>
        </is>
      </c>
      <c r="O31" s="11" t="inlineStr">
        <is>
          <t>Atividade 8</t>
        </is>
      </c>
      <c r="P31" s="11" t="inlineStr">
        <is>
          <t>Tarefa 8</t>
        </is>
      </c>
      <c r="Q31" s="11" t="inlineStr">
        <is>
          <t>Implementação</t>
        </is>
      </c>
      <c r="R31"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1" s="34" t="n">
        <v>2</v>
      </c>
      <c r="T31" s="11">
        <f>_xlfn.XLOOKUP(S31,Tabela4[Horas],Tabela4[Pontos],,1)</f>
        <v/>
      </c>
      <c r="U31" s="11" t="inlineStr">
        <is>
          <t>ENS-10791</t>
        </is>
      </c>
      <c r="V31" s="11" t="inlineStr">
        <is>
          <t>ENS-10792</t>
        </is>
      </c>
      <c r="W31" s="11" t="inlineStr">
        <is>
          <t>ENS-10793</t>
        </is>
      </c>
      <c r="X31" s="46" t="n"/>
      <c r="Y31" s="44">
        <f>HYPERLINK("https://tkebrasil.atlassian.net/browse/" &amp; U31,U31)</f>
        <v/>
      </c>
      <c r="Z31" s="44">
        <f>HYPERLINK("https://tkebrasil.atlassian.net/browse/" &amp; V31,V31)</f>
        <v/>
      </c>
      <c r="AA31" s="44">
        <f>HYPERLINK("https://tkebrasil.atlassian.net/browse/" &amp; W31,W31)</f>
        <v/>
      </c>
      <c r="AB31" s="46" t="n"/>
      <c r="AC31" s="47" t="n"/>
      <c r="AD31" s="47" t="inlineStr">
        <is>
          <t>BL</t>
        </is>
      </c>
    </row>
    <row r="32" ht="15" customHeight="1">
      <c r="A32" s="28" t="inlineStr">
        <is>
          <t>ENS</t>
        </is>
      </c>
      <c r="B32" s="29" t="inlineStr">
        <is>
          <t>2026-08-10</t>
        </is>
      </c>
      <c r="C32" s="11" t="n">
        <v>0</v>
      </c>
      <c r="D32" s="11" t="n">
        <v>0</v>
      </c>
      <c r="E32" s="36" t="n"/>
      <c r="F32" s="36" t="n">
        <v>0</v>
      </c>
      <c r="G32" s="11" t="inlineStr">
        <is>
          <t>INTERFACE</t>
        </is>
      </c>
      <c r="H32" s="33" t="inlineStr">
        <is>
          <t>ALTERAÇÃO</t>
        </is>
      </c>
      <c r="I32" s="32" t="inlineStr">
        <is>
          <t>ensemble@thyssenkruppelevadores.com.br</t>
        </is>
      </c>
      <c r="J32" s="33" t="inlineStr">
        <is>
          <t>Giovani Perotto Mesquita</t>
        </is>
      </c>
      <c r="K32" s="11">
        <f>_xlfn.XLOOKUP(Planilha!$J32,Tabela9[Pessoas],Tabela9[UUID Jira])</f>
        <v/>
      </c>
      <c r="L32" s="33" t="inlineStr">
        <is>
          <t>Luiz Felipe Brandão da Silva</t>
        </is>
      </c>
      <c r="M32" s="11">
        <f>_xlfn.XLOOKUP(Planilha!$L32,Tabela9[Pessoas],Tabela9[UUID Jira])</f>
        <v/>
      </c>
      <c r="N32" s="11" t="inlineStr">
        <is>
          <t>Épico 9</t>
        </is>
      </c>
      <c r="O32" s="11" t="inlineStr">
        <is>
          <t>Atividade 9</t>
        </is>
      </c>
      <c r="P32" s="11" t="inlineStr">
        <is>
          <t>Tarefa 9</t>
        </is>
      </c>
      <c r="Q32" s="11" t="inlineStr">
        <is>
          <t>Implementação</t>
        </is>
      </c>
      <c r="R32"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2" s="34" t="n">
        <v>2</v>
      </c>
      <c r="T32" s="11">
        <f>_xlfn.XLOOKUP(S32,Tabela4[Horas],Tabela4[Pontos],,1)</f>
        <v/>
      </c>
      <c r="U32" s="11" t="inlineStr">
        <is>
          <t>ENS-10794</t>
        </is>
      </c>
      <c r="V32" s="11" t="inlineStr">
        <is>
          <t>ENS-10795</t>
        </is>
      </c>
      <c r="W32" s="11" t="inlineStr">
        <is>
          <t>ENS-10796</t>
        </is>
      </c>
      <c r="X32" s="46" t="n"/>
      <c r="Y32" s="44">
        <f>HYPERLINK("https://tkebrasil.atlassian.net/browse/" &amp; U32,U32)</f>
        <v/>
      </c>
      <c r="Z32" s="44">
        <f>HYPERLINK("https://tkebrasil.atlassian.net/browse/" &amp; V32,V32)</f>
        <v/>
      </c>
      <c r="AA32" s="44">
        <f>HYPERLINK("https://tkebrasil.atlassian.net/browse/" &amp; W32,W32)</f>
        <v/>
      </c>
      <c r="AB32" s="46" t="n"/>
      <c r="AC32" s="47" t="n"/>
      <c r="AD32" s="47" t="inlineStr">
        <is>
          <t>BL</t>
        </is>
      </c>
    </row>
    <row r="33" ht="15" customHeight="1">
      <c r="A33" s="28" t="inlineStr">
        <is>
          <t>ENS</t>
        </is>
      </c>
      <c r="B33" s="29" t="inlineStr">
        <is>
          <t>2026-08-10</t>
        </is>
      </c>
      <c r="C33" s="11" t="n">
        <v>0</v>
      </c>
      <c r="D33" s="11" t="n">
        <v>0</v>
      </c>
      <c r="E33" s="36" t="n"/>
      <c r="F33" s="36" t="n">
        <v>0</v>
      </c>
      <c r="G33" s="11" t="inlineStr">
        <is>
          <t>INTERFACE</t>
        </is>
      </c>
      <c r="H33" s="33" t="inlineStr">
        <is>
          <t>ALTERAÇÃO</t>
        </is>
      </c>
      <c r="I33" s="32" t="inlineStr">
        <is>
          <t>ensemble@thyssenkruppelevadores.com.br</t>
        </is>
      </c>
      <c r="J33" s="33" t="inlineStr">
        <is>
          <t>Giovani Perotto Mesquita</t>
        </is>
      </c>
      <c r="K33" s="11">
        <f>_xlfn.XLOOKUP(Planilha!$J33,Tabela9[Pessoas],Tabela9[UUID Jira])</f>
        <v/>
      </c>
      <c r="L33" s="33" t="inlineStr">
        <is>
          <t>Luiz Felipe Brandão da Silva</t>
        </is>
      </c>
      <c r="M33" s="11">
        <f>_xlfn.XLOOKUP(Planilha!$L33,Tabela9[Pessoas],Tabela9[UUID Jira])</f>
        <v/>
      </c>
      <c r="N33" s="11" t="inlineStr">
        <is>
          <t>Épico 10</t>
        </is>
      </c>
      <c r="O33" s="11" t="inlineStr">
        <is>
          <t>Atividade 10</t>
        </is>
      </c>
      <c r="P33" s="11" t="inlineStr">
        <is>
          <t>Tarefa 10</t>
        </is>
      </c>
      <c r="Q33" s="11" t="inlineStr">
        <is>
          <t>Implementação</t>
        </is>
      </c>
      <c r="R33"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3" s="34" t="n">
        <v>2</v>
      </c>
      <c r="T33" s="11">
        <f>_xlfn.XLOOKUP(S33,Tabela4[Horas],Tabela4[Pontos],,1)</f>
        <v/>
      </c>
      <c r="U33" s="11" t="inlineStr">
        <is>
          <t>ENS-10797</t>
        </is>
      </c>
      <c r="V33" s="11" t="inlineStr">
        <is>
          <t>ENS-10798</t>
        </is>
      </c>
      <c r="W33" s="11" t="inlineStr">
        <is>
          <t>ENS-10799</t>
        </is>
      </c>
      <c r="X33" s="46" t="n"/>
      <c r="Y33" s="44">
        <f>HYPERLINK("https://tkebrasil.atlassian.net/browse/" &amp; U33,U33)</f>
        <v/>
      </c>
      <c r="Z33" s="44">
        <f>HYPERLINK("https://tkebrasil.atlassian.net/browse/" &amp; V33,V33)</f>
        <v/>
      </c>
      <c r="AA33" s="44">
        <f>HYPERLINK("https://tkebrasil.atlassian.net/browse/" &amp; W33,W33)</f>
        <v/>
      </c>
      <c r="AB33" s="46" t="n"/>
      <c r="AC33" s="47" t="n"/>
      <c r="AD33" s="47" t="inlineStr">
        <is>
          <t>BL</t>
        </is>
      </c>
    </row>
    <row r="34" ht="15" customHeight="1">
      <c r="A34" s="28" t="inlineStr">
        <is>
          <t>ENS</t>
        </is>
      </c>
      <c r="B34" s="29" t="inlineStr">
        <is>
          <t>2026-08-10</t>
        </is>
      </c>
      <c r="C34" s="11" t="n">
        <v>0</v>
      </c>
      <c r="D34" s="11" t="n">
        <v>0</v>
      </c>
      <c r="E34" s="36" t="n"/>
      <c r="F34" s="36" t="n">
        <v>0</v>
      </c>
      <c r="G34" s="11" t="inlineStr">
        <is>
          <t>INTERFACE</t>
        </is>
      </c>
      <c r="H34" s="33" t="inlineStr">
        <is>
          <t>ALTERAÇÃO</t>
        </is>
      </c>
      <c r="I34" s="32" t="inlineStr">
        <is>
          <t>ensemble@thyssenkruppelevadores.com.br</t>
        </is>
      </c>
      <c r="J34" s="33" t="inlineStr">
        <is>
          <t>Giovani Perotto Mesquita</t>
        </is>
      </c>
      <c r="K34" s="11">
        <f>_xlfn.XLOOKUP(Planilha!$J34,Tabela9[Pessoas],Tabela9[UUID Jira])</f>
        <v/>
      </c>
      <c r="L34" s="33" t="inlineStr">
        <is>
          <t>Luiz Felipe Brandão da Silva</t>
        </is>
      </c>
      <c r="M34" s="11">
        <f>_xlfn.XLOOKUP(Planilha!$L34,Tabela9[Pessoas],Tabela9[UUID Jira])</f>
        <v/>
      </c>
      <c r="N34" s="11" t="inlineStr">
        <is>
          <t>Épico 11</t>
        </is>
      </c>
      <c r="O34" s="11" t="inlineStr">
        <is>
          <t>Atividade 11</t>
        </is>
      </c>
      <c r="P34" s="11" t="inlineStr">
        <is>
          <t>Tarefa 11</t>
        </is>
      </c>
      <c r="Q34" s="11" t="inlineStr">
        <is>
          <t>Implementação</t>
        </is>
      </c>
      <c r="R34"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4" s="34" t="n">
        <v>2</v>
      </c>
      <c r="T34" s="11">
        <f>_xlfn.XLOOKUP(S34,Tabela4[Horas],Tabela4[Pontos],,1)</f>
        <v/>
      </c>
      <c r="U34" s="11" t="inlineStr">
        <is>
          <t>ENS-10800</t>
        </is>
      </c>
      <c r="V34" s="11" t="inlineStr">
        <is>
          <t>ENS-10801</t>
        </is>
      </c>
      <c r="W34" s="11" t="inlineStr">
        <is>
          <t>ENS-10802</t>
        </is>
      </c>
      <c r="X34" s="46" t="n"/>
      <c r="Y34" s="44">
        <f>HYPERLINK("https://tkebrasil.atlassian.net/browse/" &amp; U34,U34)</f>
        <v/>
      </c>
      <c r="Z34" s="44">
        <f>HYPERLINK("https://tkebrasil.atlassian.net/browse/" &amp; V34,V34)</f>
        <v/>
      </c>
      <c r="AA34" s="44">
        <f>HYPERLINK("https://tkebrasil.atlassian.net/browse/" &amp; W34,W34)</f>
        <v/>
      </c>
      <c r="AB34" s="46" t="n"/>
      <c r="AC34" s="47" t="n"/>
      <c r="AD34" s="47" t="inlineStr">
        <is>
          <t>BL</t>
        </is>
      </c>
    </row>
    <row r="35" ht="15" customHeight="1">
      <c r="A35" s="28" t="inlineStr">
        <is>
          <t>ENS</t>
        </is>
      </c>
      <c r="B35" s="29" t="inlineStr">
        <is>
          <t>2026-08-10</t>
        </is>
      </c>
      <c r="C35" s="11" t="n">
        <v>0</v>
      </c>
      <c r="D35" s="11" t="n">
        <v>0</v>
      </c>
      <c r="E35" s="36" t="n"/>
      <c r="F35" s="36" t="n">
        <v>0</v>
      </c>
      <c r="G35" s="11" t="inlineStr">
        <is>
          <t>INTERFACE</t>
        </is>
      </c>
      <c r="H35" s="33" t="inlineStr">
        <is>
          <t>ALTERAÇÃO</t>
        </is>
      </c>
      <c r="I35" s="32" t="inlineStr">
        <is>
          <t>ensemble@thyssenkruppelevadores.com.br</t>
        </is>
      </c>
      <c r="J35" s="33" t="inlineStr">
        <is>
          <t>Giovani Perotto Mesquita</t>
        </is>
      </c>
      <c r="K35" s="11">
        <f>_xlfn.XLOOKUP(Planilha!$J35,Tabela9[Pessoas],Tabela9[UUID Jira])</f>
        <v/>
      </c>
      <c r="L35" s="33" t="inlineStr">
        <is>
          <t>Luiz Felipe Brandão da Silva</t>
        </is>
      </c>
      <c r="M35" s="11">
        <f>_xlfn.XLOOKUP(Planilha!$L35,Tabela9[Pessoas],Tabela9[UUID Jira])</f>
        <v/>
      </c>
      <c r="N35" s="11" t="inlineStr">
        <is>
          <t>Épico 12</t>
        </is>
      </c>
      <c r="O35" s="11" t="inlineStr">
        <is>
          <t>Atividade 12</t>
        </is>
      </c>
      <c r="P35" s="11" t="inlineStr">
        <is>
          <t>Tarefa 12</t>
        </is>
      </c>
      <c r="Q35" s="11" t="inlineStr">
        <is>
          <t>Implementação</t>
        </is>
      </c>
      <c r="R3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5" s="34" t="n">
        <v>2</v>
      </c>
      <c r="T35" s="11">
        <f>_xlfn.XLOOKUP(S35,Tabela4[Horas],Tabela4[Pontos],,1)</f>
        <v/>
      </c>
      <c r="U35" s="11" t="inlineStr">
        <is>
          <t>ENS-10803</t>
        </is>
      </c>
      <c r="V35" s="11" t="inlineStr">
        <is>
          <t>ENS-10804</t>
        </is>
      </c>
      <c r="W35" s="11" t="inlineStr">
        <is>
          <t>ENS-10805</t>
        </is>
      </c>
      <c r="X35" s="46" t="n"/>
      <c r="Y35" s="44">
        <f>HYPERLINK("https://tkebrasil.atlassian.net/browse/" &amp; U35,U35)</f>
        <v/>
      </c>
      <c r="Z35" s="44">
        <f>HYPERLINK("https://tkebrasil.atlassian.net/browse/" &amp; V35,V35)</f>
        <v/>
      </c>
      <c r="AA35" s="44">
        <f>HYPERLINK("https://tkebrasil.atlassian.net/browse/" &amp; W35,W35)</f>
        <v/>
      </c>
      <c r="AB35" s="46" t="n"/>
      <c r="AC35" s="47" t="n"/>
      <c r="AD35" s="47" t="inlineStr">
        <is>
          <t>BL</t>
        </is>
      </c>
    </row>
    <row r="36" ht="15" customHeight="1">
      <c r="A36" s="28" t="inlineStr">
        <is>
          <t>ENS</t>
        </is>
      </c>
      <c r="B36" s="29" t="inlineStr">
        <is>
          <t>2026-08-10</t>
        </is>
      </c>
      <c r="C36" s="11" t="n">
        <v>0</v>
      </c>
      <c r="D36" s="11" t="n">
        <v>0</v>
      </c>
      <c r="E36" s="36" t="n"/>
      <c r="F36" s="36" t="n">
        <v>0</v>
      </c>
      <c r="G36" s="11" t="inlineStr">
        <is>
          <t>INTERFACE</t>
        </is>
      </c>
      <c r="H36" s="33" t="inlineStr">
        <is>
          <t>ALTERAÇÃO</t>
        </is>
      </c>
      <c r="I36" s="32" t="inlineStr">
        <is>
          <t>ensemble@thyssenkruppelevadores.com.br</t>
        </is>
      </c>
      <c r="J36" s="33" t="inlineStr">
        <is>
          <t>Giovani Perotto Mesquita</t>
        </is>
      </c>
      <c r="K36" s="11">
        <f>_xlfn.XLOOKUP(Planilha!$J36,Tabela9[Pessoas],Tabela9[UUID Jira])</f>
        <v/>
      </c>
      <c r="L36" s="33" t="inlineStr">
        <is>
          <t>Luiz Felipe Brandão da Silva</t>
        </is>
      </c>
      <c r="M36" s="11">
        <f>_xlfn.XLOOKUP(Planilha!$L36,Tabela9[Pessoas],Tabela9[UUID Jira])</f>
        <v/>
      </c>
      <c r="N36" s="11" t="inlineStr">
        <is>
          <t>Épico 13</t>
        </is>
      </c>
      <c r="O36" s="11" t="inlineStr">
        <is>
          <t>Atividade 13</t>
        </is>
      </c>
      <c r="P36" s="11" t="inlineStr">
        <is>
          <t>Tarefa 13</t>
        </is>
      </c>
      <c r="Q36" s="11" t="inlineStr">
        <is>
          <t>Implementação</t>
        </is>
      </c>
      <c r="R36"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6" s="34" t="n">
        <v>2</v>
      </c>
      <c r="T36" s="11">
        <f>_xlfn.XLOOKUP(S36,Tabela4[Horas],Tabela4[Pontos],,1)</f>
        <v/>
      </c>
      <c r="U36" s="11" t="inlineStr">
        <is>
          <t>ENS-10806</t>
        </is>
      </c>
      <c r="V36" s="11" t="inlineStr">
        <is>
          <t>ENS-10807</t>
        </is>
      </c>
      <c r="W36" s="11" t="inlineStr">
        <is>
          <t>ENS-10808</t>
        </is>
      </c>
      <c r="X36" s="46" t="n"/>
      <c r="Y36" s="44">
        <f>HYPERLINK("https://tkebrasil.atlassian.net/browse/" &amp; U36,U36)</f>
        <v/>
      </c>
      <c r="Z36" s="44">
        <f>HYPERLINK("https://tkebrasil.atlassian.net/browse/" &amp; V36,V36)</f>
        <v/>
      </c>
      <c r="AA36" s="44">
        <f>HYPERLINK("https://tkebrasil.atlassian.net/browse/" &amp; W36,W36)</f>
        <v/>
      </c>
      <c r="AB36" s="46" t="n"/>
      <c r="AC36" s="47" t="n"/>
      <c r="AD36" s="47" t="inlineStr">
        <is>
          <t>BL</t>
        </is>
      </c>
    </row>
    <row r="37" ht="15" customHeight="1">
      <c r="A37" s="28" t="inlineStr">
        <is>
          <t>ENS</t>
        </is>
      </c>
      <c r="B37" s="29" t="inlineStr">
        <is>
          <t>2026-08-10</t>
        </is>
      </c>
      <c r="C37" s="11" t="n">
        <v>0</v>
      </c>
      <c r="D37" s="11" t="n">
        <v>0</v>
      </c>
      <c r="E37" s="36" t="n"/>
      <c r="F37" s="36" t="n">
        <v>0</v>
      </c>
      <c r="G37" s="11" t="inlineStr">
        <is>
          <t>INTERFACE</t>
        </is>
      </c>
      <c r="H37" s="33" t="inlineStr">
        <is>
          <t>ALTERAÇÃO</t>
        </is>
      </c>
      <c r="I37" s="32" t="inlineStr">
        <is>
          <t>ensemble@thyssenkruppelevadores.com.br</t>
        </is>
      </c>
      <c r="J37" s="33" t="inlineStr">
        <is>
          <t>Giovani Perotto Mesquita</t>
        </is>
      </c>
      <c r="K37" s="11">
        <f>_xlfn.XLOOKUP(Planilha!$J37,Tabela9[Pessoas],Tabela9[UUID Jira])</f>
        <v/>
      </c>
      <c r="L37" s="33" t="inlineStr">
        <is>
          <t>Luiz Felipe Brandão da Silva</t>
        </is>
      </c>
      <c r="M37" s="11">
        <f>_xlfn.XLOOKUP(Planilha!$L37,Tabela9[Pessoas],Tabela9[UUID Jira])</f>
        <v/>
      </c>
      <c r="N37" s="11" t="inlineStr">
        <is>
          <t>Épico 14</t>
        </is>
      </c>
      <c r="O37" s="11" t="inlineStr">
        <is>
          <t>Atividade 14</t>
        </is>
      </c>
      <c r="P37" s="11" t="inlineStr">
        <is>
          <t>Tarefa 14</t>
        </is>
      </c>
      <c r="Q37" s="11" t="inlineStr">
        <is>
          <t>Implementação</t>
        </is>
      </c>
      <c r="R37"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7" s="34" t="n">
        <v>2</v>
      </c>
      <c r="T37" s="11">
        <f>_xlfn.XLOOKUP(S37,Tabela4[Horas],Tabela4[Pontos],,1)</f>
        <v/>
      </c>
      <c r="U37" s="11" t="inlineStr">
        <is>
          <t>ENS-10809</t>
        </is>
      </c>
      <c r="V37" s="11" t="inlineStr">
        <is>
          <t>ENS-10810</t>
        </is>
      </c>
      <c r="W37" s="11" t="inlineStr">
        <is>
          <t>ENS-10811</t>
        </is>
      </c>
      <c r="X37" s="46" t="n"/>
      <c r="Y37" s="44">
        <f>HYPERLINK("https://tkebrasil.atlassian.net/browse/" &amp; U37,U37)</f>
        <v/>
      </c>
      <c r="Z37" s="44">
        <f>HYPERLINK("https://tkebrasil.atlassian.net/browse/" &amp; V37,V37)</f>
        <v/>
      </c>
      <c r="AA37" s="44">
        <f>HYPERLINK("https://tkebrasil.atlassian.net/browse/" &amp; W37,W37)</f>
        <v/>
      </c>
      <c r="AB37" s="46" t="n"/>
      <c r="AC37" s="47" t="n"/>
      <c r="AD37" s="47" t="inlineStr">
        <is>
          <t>BL</t>
        </is>
      </c>
    </row>
    <row r="38" ht="15" customHeight="1">
      <c r="A38" s="28" t="inlineStr">
        <is>
          <t>ENS</t>
        </is>
      </c>
      <c r="B38" s="29" t="inlineStr">
        <is>
          <t>2026-08-10</t>
        </is>
      </c>
      <c r="C38" s="11" t="n">
        <v>0</v>
      </c>
      <c r="D38" s="11" t="n">
        <v>0</v>
      </c>
      <c r="E38" s="36" t="n"/>
      <c r="F38" s="36" t="n">
        <v>0</v>
      </c>
      <c r="G38" s="11" t="inlineStr">
        <is>
          <t>INTERFACE</t>
        </is>
      </c>
      <c r="H38" s="33" t="inlineStr">
        <is>
          <t>ALTERAÇÃO</t>
        </is>
      </c>
      <c r="I38" s="32" t="inlineStr">
        <is>
          <t>ensemble@thyssenkruppelevadores.com.br</t>
        </is>
      </c>
      <c r="J38" s="33" t="inlineStr">
        <is>
          <t>Giovani Perotto Mesquita</t>
        </is>
      </c>
      <c r="K38" s="11">
        <f>_xlfn.XLOOKUP(Planilha!$J38,Tabela9[Pessoas],Tabela9[UUID Jira])</f>
        <v/>
      </c>
      <c r="L38" s="41" t="inlineStr">
        <is>
          <t>Pablo Rocha</t>
        </is>
      </c>
      <c r="M38" s="11">
        <f>_xlfn.XLOOKUP(Planilha!$L38,Tabela9[Pessoas],Tabela9[UUID Jira])</f>
        <v/>
      </c>
      <c r="N38" s="11" t="inlineStr">
        <is>
          <t>Épico 15</t>
        </is>
      </c>
      <c r="O38" s="11" t="inlineStr">
        <is>
          <t>Atividade 15</t>
        </is>
      </c>
      <c r="P38" s="11" t="inlineStr">
        <is>
          <t>Tarefa 15</t>
        </is>
      </c>
      <c r="Q38" s="11" t="inlineStr">
        <is>
          <t>Implementação</t>
        </is>
      </c>
      <c r="R38"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8" s="34" t="n">
        <v>2</v>
      </c>
      <c r="T38" s="11">
        <f>_xlfn.XLOOKUP(S38,Tabela4[Horas],Tabela4[Pontos],,1)</f>
        <v/>
      </c>
      <c r="U38" s="11" t="inlineStr">
        <is>
          <t>ENS-10812</t>
        </is>
      </c>
      <c r="V38" s="11" t="inlineStr">
        <is>
          <t>ENS-10813</t>
        </is>
      </c>
      <c r="W38" s="11" t="inlineStr">
        <is>
          <t>ENS-10814</t>
        </is>
      </c>
      <c r="X38" s="46" t="n"/>
      <c r="Y38" s="44">
        <f>HYPERLINK("https://tkebrasil.atlassian.net/browse/" &amp; U38,U38)</f>
        <v/>
      </c>
      <c r="Z38" s="44">
        <f>HYPERLINK("https://tkebrasil.atlassian.net/browse/" &amp; V38,V38)</f>
        <v/>
      </c>
      <c r="AA38" s="44">
        <f>HYPERLINK("https://tkebrasil.atlassian.net/browse/" &amp; W38,W38)</f>
        <v/>
      </c>
      <c r="AB38" s="46" t="n"/>
      <c r="AC38" s="47" t="n"/>
      <c r="AD38" s="47" t="inlineStr">
        <is>
          <t>BL</t>
        </is>
      </c>
    </row>
    <row r="39" ht="15" customHeight="1">
      <c r="A39" s="28" t="inlineStr">
        <is>
          <t>ENS</t>
        </is>
      </c>
      <c r="B39" s="29" t="inlineStr">
        <is>
          <t>2026-08-10</t>
        </is>
      </c>
      <c r="C39" s="11" t="n">
        <v>0</v>
      </c>
      <c r="D39" s="11" t="n">
        <v>0</v>
      </c>
      <c r="E39" s="36" t="n"/>
      <c r="F39" s="36" t="n">
        <v>0</v>
      </c>
      <c r="G39" s="11" t="inlineStr">
        <is>
          <t>INTERFACE</t>
        </is>
      </c>
      <c r="H39" s="33" t="inlineStr">
        <is>
          <t>ALTERAÇÃO</t>
        </is>
      </c>
      <c r="I39" s="32" t="inlineStr">
        <is>
          <t>ensemble@thyssenkruppelevadores.com.br</t>
        </is>
      </c>
      <c r="J39" s="33" t="inlineStr">
        <is>
          <t>Giovani Perotto Mesquita</t>
        </is>
      </c>
      <c r="K39" s="11">
        <f>_xlfn.XLOOKUP(Planilha!$J39,Tabela9[Pessoas],Tabela9[UUID Jira])</f>
        <v/>
      </c>
      <c r="L39" s="41" t="inlineStr">
        <is>
          <t>Pablo Rocha</t>
        </is>
      </c>
      <c r="M39" s="11">
        <f>_xlfn.XLOOKUP(Planilha!$L39,Tabela9[Pessoas],Tabela9[UUID Jira])</f>
        <v/>
      </c>
      <c r="N39" s="11" t="inlineStr">
        <is>
          <t>Épico 16</t>
        </is>
      </c>
      <c r="O39" s="11" t="inlineStr">
        <is>
          <t>Atividade 16</t>
        </is>
      </c>
      <c r="P39" s="11" t="inlineStr">
        <is>
          <t>Tarefa 16</t>
        </is>
      </c>
      <c r="Q39" s="11" t="inlineStr">
        <is>
          <t>Implementação</t>
        </is>
      </c>
      <c r="R39"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39" s="34" t="n">
        <v>2</v>
      </c>
      <c r="T39" s="11">
        <f>_xlfn.XLOOKUP(S39,Tabela4[Horas],Tabela4[Pontos],,1)</f>
        <v/>
      </c>
      <c r="U39" s="11" t="inlineStr">
        <is>
          <t>ENS-10815</t>
        </is>
      </c>
      <c r="V39" s="11" t="inlineStr">
        <is>
          <t>ENS-10816</t>
        </is>
      </c>
      <c r="W39" s="11" t="inlineStr">
        <is>
          <t>ENS-10817</t>
        </is>
      </c>
      <c r="X39" s="46" t="n"/>
      <c r="Y39" s="44">
        <f>HYPERLINK("https://tkebrasil.atlassian.net/browse/" &amp; U39,U39)</f>
        <v/>
      </c>
      <c r="Z39" s="44">
        <f>HYPERLINK("https://tkebrasil.atlassian.net/browse/" &amp; V39,V39)</f>
        <v/>
      </c>
      <c r="AA39" s="44">
        <f>HYPERLINK("https://tkebrasil.atlassian.net/browse/" &amp; W39,W39)</f>
        <v/>
      </c>
      <c r="AB39" s="46" t="n"/>
      <c r="AC39" s="47" t="n"/>
      <c r="AD39" s="47" t="inlineStr">
        <is>
          <t>BL</t>
        </is>
      </c>
    </row>
    <row r="40" ht="15" customHeight="1">
      <c r="A40" s="28" t="inlineStr">
        <is>
          <t>ENS</t>
        </is>
      </c>
      <c r="B40" s="29" t="inlineStr">
        <is>
          <t>2026-08-10</t>
        </is>
      </c>
      <c r="C40" s="11" t="n">
        <v>0</v>
      </c>
      <c r="D40" s="11" t="n">
        <v>0</v>
      </c>
      <c r="E40" s="36" t="n"/>
      <c r="F40" s="36" t="n">
        <v>0</v>
      </c>
      <c r="G40" s="11" t="inlineStr">
        <is>
          <t>INTERFACE</t>
        </is>
      </c>
      <c r="H40" s="33" t="inlineStr">
        <is>
          <t>ALTERAÇÃO</t>
        </is>
      </c>
      <c r="I40" s="32" t="inlineStr">
        <is>
          <t>ensemble@thyssenkruppelevadores.com.br</t>
        </is>
      </c>
      <c r="J40" s="33" t="inlineStr">
        <is>
          <t>Giovani Perotto Mesquita</t>
        </is>
      </c>
      <c r="K40" s="11">
        <f>_xlfn.XLOOKUP(Planilha!$J40,Tabela9[Pessoas],Tabela9[UUID Jira])</f>
        <v/>
      </c>
      <c r="L40" s="33" t="inlineStr">
        <is>
          <t>Regina Albanus</t>
        </is>
      </c>
      <c r="M40" s="11">
        <f>_xlfn.XLOOKUP(Planilha!$L40,Tabela9[Pessoas],Tabela9[UUID Jira])</f>
        <v/>
      </c>
      <c r="N40" s="11" t="inlineStr">
        <is>
          <t>Épico 17</t>
        </is>
      </c>
      <c r="O40" s="11" t="inlineStr">
        <is>
          <t>Atividade 17</t>
        </is>
      </c>
      <c r="P40" s="11" t="inlineStr">
        <is>
          <t>Tarefa 17</t>
        </is>
      </c>
      <c r="Q40" s="11" t="inlineStr">
        <is>
          <t>Implementação</t>
        </is>
      </c>
      <c r="R40"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0" s="34" t="n">
        <v>2</v>
      </c>
      <c r="T40" s="11">
        <f>_xlfn.XLOOKUP(S40,Tabela4[Horas],Tabela4[Pontos],,1)</f>
        <v/>
      </c>
      <c r="U40" s="11" t="inlineStr">
        <is>
          <t>ENS-10818</t>
        </is>
      </c>
      <c r="V40" s="11" t="inlineStr">
        <is>
          <t>ENS-10819</t>
        </is>
      </c>
      <c r="W40" s="11" t="inlineStr">
        <is>
          <t>ENS-10820</t>
        </is>
      </c>
      <c r="X40" s="46" t="n"/>
      <c r="Y40" s="44">
        <f>HYPERLINK("https://tkebrasil.atlassian.net/browse/" &amp; U40,U40)</f>
        <v/>
      </c>
      <c r="Z40" s="44">
        <f>HYPERLINK("https://tkebrasil.atlassian.net/browse/" &amp; V40,V40)</f>
        <v/>
      </c>
      <c r="AA40" s="44">
        <f>HYPERLINK("https://tkebrasil.atlassian.net/browse/" &amp; W40,W40)</f>
        <v/>
      </c>
      <c r="AB40" s="46" t="n"/>
      <c r="AC40" s="47" t="n"/>
      <c r="AD40" s="47" t="inlineStr">
        <is>
          <t>BL</t>
        </is>
      </c>
    </row>
    <row r="41" ht="15" customHeight="1">
      <c r="A41" s="28" t="inlineStr">
        <is>
          <t>ENS</t>
        </is>
      </c>
      <c r="B41" s="29" t="inlineStr">
        <is>
          <t>2026-08-10</t>
        </is>
      </c>
      <c r="C41" s="11" t="n">
        <v>0</v>
      </c>
      <c r="D41" s="11" t="n">
        <v>0</v>
      </c>
      <c r="E41" s="36" t="n"/>
      <c r="F41" s="36" t="n">
        <v>0</v>
      </c>
      <c r="G41" s="11" t="inlineStr">
        <is>
          <t>INTERFACE</t>
        </is>
      </c>
      <c r="H41" s="33" t="inlineStr">
        <is>
          <t>ALTERAÇÃO</t>
        </is>
      </c>
      <c r="I41" s="32" t="inlineStr">
        <is>
          <t>ensemble@thyssenkruppelevadores.com.br</t>
        </is>
      </c>
      <c r="J41" s="33" t="inlineStr">
        <is>
          <t>Giovani Perotto Mesquita</t>
        </is>
      </c>
      <c r="K41" s="11">
        <f>_xlfn.XLOOKUP(Planilha!$J41,Tabela9[Pessoas],Tabela9[UUID Jira])</f>
        <v/>
      </c>
      <c r="L41" s="33" t="inlineStr">
        <is>
          <t>Regina Albanus</t>
        </is>
      </c>
      <c r="M41" s="11">
        <f>_xlfn.XLOOKUP(Planilha!$L41,Tabela9[Pessoas],Tabela9[UUID Jira])</f>
        <v/>
      </c>
      <c r="N41" s="11" t="inlineStr">
        <is>
          <t>Épico 18</t>
        </is>
      </c>
      <c r="O41" s="11" t="inlineStr">
        <is>
          <t>Atividade 18</t>
        </is>
      </c>
      <c r="P41" s="11" t="inlineStr">
        <is>
          <t>Tarefa 18</t>
        </is>
      </c>
      <c r="Q41" s="11" t="inlineStr">
        <is>
          <t>Implementação</t>
        </is>
      </c>
      <c r="R41"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1" s="34" t="n">
        <v>2</v>
      </c>
      <c r="T41" s="11">
        <f>_xlfn.XLOOKUP(S41,Tabela4[Horas],Tabela4[Pontos],,1)</f>
        <v/>
      </c>
      <c r="U41" s="11" t="inlineStr">
        <is>
          <t>ENS-10821</t>
        </is>
      </c>
      <c r="V41" s="11" t="inlineStr">
        <is>
          <t>ENS-10822</t>
        </is>
      </c>
      <c r="W41" s="11" t="inlineStr">
        <is>
          <t>ENS-10823</t>
        </is>
      </c>
      <c r="X41" s="46" t="n"/>
      <c r="Y41" s="44">
        <f>HYPERLINK("https://tkebrasil.atlassian.net/browse/" &amp; U41,U41)</f>
        <v/>
      </c>
      <c r="Z41" s="44">
        <f>HYPERLINK("https://tkebrasil.atlassian.net/browse/" &amp; V41,V41)</f>
        <v/>
      </c>
      <c r="AA41" s="44">
        <f>HYPERLINK("https://tkebrasil.atlassian.net/browse/" &amp; W41,W41)</f>
        <v/>
      </c>
      <c r="AB41" s="46" t="n"/>
      <c r="AC41" s="47" t="n"/>
      <c r="AD41" s="47" t="inlineStr">
        <is>
          <t>BL</t>
        </is>
      </c>
    </row>
    <row r="42" ht="15" customHeight="1">
      <c r="A42" s="28" t="inlineStr">
        <is>
          <t>ENS</t>
        </is>
      </c>
      <c r="B42" s="29" t="inlineStr">
        <is>
          <t>2026-08-10</t>
        </is>
      </c>
      <c r="C42" s="11" t="n">
        <v>0</v>
      </c>
      <c r="D42" s="11" t="n">
        <v>0</v>
      </c>
      <c r="E42" s="36" t="n"/>
      <c r="F42" s="36" t="n">
        <v>0</v>
      </c>
      <c r="G42" s="11" t="inlineStr">
        <is>
          <t>INTERFACE</t>
        </is>
      </c>
      <c r="H42" s="33" t="inlineStr">
        <is>
          <t>ALTERAÇÃO</t>
        </is>
      </c>
      <c r="I42" s="32" t="inlineStr">
        <is>
          <t>ensemble@thyssenkruppelevadores.com.br</t>
        </is>
      </c>
      <c r="J42" s="33" t="inlineStr">
        <is>
          <t>Giovani Perotto Mesquita</t>
        </is>
      </c>
      <c r="K42" s="11">
        <f>_xlfn.XLOOKUP(Planilha!$J42,Tabela9[Pessoas],Tabela9[UUID Jira])</f>
        <v/>
      </c>
      <c r="L42" s="33" t="inlineStr">
        <is>
          <t>Regina Albanus</t>
        </is>
      </c>
      <c r="M42" s="11">
        <f>_xlfn.XLOOKUP(Planilha!$L42,Tabela9[Pessoas],Tabela9[UUID Jira])</f>
        <v/>
      </c>
      <c r="N42" s="11" t="inlineStr">
        <is>
          <t>Épico 19</t>
        </is>
      </c>
      <c r="O42" s="11" t="inlineStr">
        <is>
          <t>Atividade 19</t>
        </is>
      </c>
      <c r="P42" s="11" t="inlineStr">
        <is>
          <t>Tarefa 19</t>
        </is>
      </c>
      <c r="Q42" s="11" t="inlineStr">
        <is>
          <t>Implementação</t>
        </is>
      </c>
      <c r="R42"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2" s="34" t="n">
        <v>2</v>
      </c>
      <c r="T42" s="11">
        <f>_xlfn.XLOOKUP(S42,Tabela4[Horas],Tabela4[Pontos],,1)</f>
        <v/>
      </c>
      <c r="U42" s="11" t="inlineStr">
        <is>
          <t>ENS-10824</t>
        </is>
      </c>
      <c r="V42" s="11" t="inlineStr">
        <is>
          <t>ENS-10825</t>
        </is>
      </c>
      <c r="W42" s="11" t="inlineStr">
        <is>
          <t>ENS-10826</t>
        </is>
      </c>
      <c r="X42" s="46" t="n"/>
      <c r="Y42" s="44">
        <f>HYPERLINK("https://tkebrasil.atlassian.net/browse/" &amp; U42,U42)</f>
        <v/>
      </c>
      <c r="Z42" s="44">
        <f>HYPERLINK("https://tkebrasil.atlassian.net/browse/" &amp; V42,V42)</f>
        <v/>
      </c>
      <c r="AA42" s="44">
        <f>HYPERLINK("https://tkebrasil.atlassian.net/browse/" &amp; W42,W42)</f>
        <v/>
      </c>
      <c r="AB42" s="46" t="n"/>
      <c r="AC42" s="47" t="n"/>
      <c r="AD42" s="47" t="inlineStr">
        <is>
          <t>BL</t>
        </is>
      </c>
    </row>
    <row r="43" ht="15" customHeight="1">
      <c r="A43" s="28" t="inlineStr">
        <is>
          <t>ENS</t>
        </is>
      </c>
      <c r="B43" s="29" t="inlineStr">
        <is>
          <t>2026-08-10</t>
        </is>
      </c>
      <c r="C43" s="11" t="n">
        <v>0</v>
      </c>
      <c r="D43" s="11" t="n">
        <v>0</v>
      </c>
      <c r="E43" s="36" t="n"/>
      <c r="F43" s="36" t="n">
        <v>0</v>
      </c>
      <c r="G43" s="11" t="inlineStr">
        <is>
          <t>INTERFACE</t>
        </is>
      </c>
      <c r="H43" s="33" t="inlineStr">
        <is>
          <t>ALTERAÇÃO</t>
        </is>
      </c>
      <c r="I43" s="32" t="inlineStr">
        <is>
          <t>ensemble@thyssenkruppelevadores.com.br</t>
        </is>
      </c>
      <c r="J43" s="33" t="inlineStr">
        <is>
          <t>Giovani Perotto Mesquita</t>
        </is>
      </c>
      <c r="K43" s="11">
        <f>_xlfn.XLOOKUP(Planilha!$J43,Tabela9[Pessoas],Tabela9[UUID Jira])</f>
        <v/>
      </c>
      <c r="L43" s="33" t="inlineStr">
        <is>
          <t>Regina Albanus</t>
        </is>
      </c>
      <c r="M43" s="11">
        <f>_xlfn.XLOOKUP(Planilha!$L43,Tabela9[Pessoas],Tabela9[UUID Jira])</f>
        <v/>
      </c>
      <c r="N43" s="11" t="inlineStr">
        <is>
          <t>Épico 20</t>
        </is>
      </c>
      <c r="O43" s="11" t="inlineStr">
        <is>
          <t>Atividade 20</t>
        </is>
      </c>
      <c r="P43" s="11" t="inlineStr">
        <is>
          <t>Tarefa 20</t>
        </is>
      </c>
      <c r="Q43" s="11" t="inlineStr">
        <is>
          <t>Implementação</t>
        </is>
      </c>
      <c r="R43"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3" s="34" t="n">
        <v>2</v>
      </c>
      <c r="T43" s="11">
        <f>_xlfn.XLOOKUP(S43,Tabela4[Horas],Tabela4[Pontos],,1)</f>
        <v/>
      </c>
      <c r="U43" s="11" t="inlineStr">
        <is>
          <t>ENS-10827</t>
        </is>
      </c>
      <c r="V43" s="11" t="inlineStr">
        <is>
          <t>ENS-10828</t>
        </is>
      </c>
      <c r="W43" s="11" t="inlineStr">
        <is>
          <t>ENS-10829</t>
        </is>
      </c>
      <c r="X43" s="46" t="n"/>
      <c r="Y43" s="44">
        <f>HYPERLINK("https://tkebrasil.atlassian.net/browse/" &amp; U43,U43)</f>
        <v/>
      </c>
      <c r="Z43" s="44">
        <f>HYPERLINK("https://tkebrasil.atlassian.net/browse/" &amp; V43,V43)</f>
        <v/>
      </c>
      <c r="AA43" s="44">
        <f>HYPERLINK("https://tkebrasil.atlassian.net/browse/" &amp; W43,W43)</f>
        <v/>
      </c>
      <c r="AB43" s="46" t="n"/>
      <c r="AC43" s="47" t="n"/>
      <c r="AD43" s="47" t="inlineStr">
        <is>
          <t>BL</t>
        </is>
      </c>
    </row>
    <row r="44" ht="15" customHeight="1">
      <c r="A44" s="28" t="inlineStr">
        <is>
          <t>ENS</t>
        </is>
      </c>
      <c r="B44" s="29" t="inlineStr">
        <is>
          <t>2026-08-10</t>
        </is>
      </c>
      <c r="C44" s="11" t="n">
        <v>0</v>
      </c>
      <c r="D44" s="11" t="n">
        <v>0</v>
      </c>
      <c r="E44" s="36" t="n"/>
      <c r="F44" s="36" t="n">
        <v>0</v>
      </c>
      <c r="G44" s="11" t="inlineStr">
        <is>
          <t>INTERFACE</t>
        </is>
      </c>
      <c r="H44" s="33" t="inlineStr">
        <is>
          <t>ALTERAÇÃO</t>
        </is>
      </c>
      <c r="I44" s="32" t="inlineStr">
        <is>
          <t>ensemble@thyssenkruppelevadores.com.br</t>
        </is>
      </c>
      <c r="J44" s="33" t="inlineStr">
        <is>
          <t>Giovani Perotto Mesquita</t>
        </is>
      </c>
      <c r="K44" s="11">
        <f>_xlfn.XLOOKUP(Planilha!$J44,Tabela9[Pessoas],Tabela9[UUID Jira])</f>
        <v/>
      </c>
      <c r="L44" s="33" t="inlineStr">
        <is>
          <t>Regina Albanus</t>
        </is>
      </c>
      <c r="M44" s="11">
        <f>_xlfn.XLOOKUP(Planilha!$L44,Tabela9[Pessoas],Tabela9[UUID Jira])</f>
        <v/>
      </c>
      <c r="N44" s="11" t="inlineStr">
        <is>
          <t>Épico 21</t>
        </is>
      </c>
      <c r="O44" s="11" t="inlineStr">
        <is>
          <t>Atividade 21</t>
        </is>
      </c>
      <c r="P44" s="11" t="inlineStr">
        <is>
          <t>Tarefa 21</t>
        </is>
      </c>
      <c r="Q44" s="11" t="inlineStr">
        <is>
          <t>Implementação</t>
        </is>
      </c>
      <c r="R44"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4" s="34" t="n">
        <v>2</v>
      </c>
      <c r="T44" s="11">
        <f>_xlfn.XLOOKUP(S44,Tabela4[Horas],Tabela4[Pontos],,1)</f>
        <v/>
      </c>
      <c r="U44" s="11" t="inlineStr">
        <is>
          <t>ENS-10830</t>
        </is>
      </c>
      <c r="V44" s="11" t="inlineStr">
        <is>
          <t>ENS-10831</t>
        </is>
      </c>
      <c r="W44" s="11" t="inlineStr">
        <is>
          <t>ENS-10832</t>
        </is>
      </c>
      <c r="X44" s="46" t="n"/>
      <c r="Y44" s="44">
        <f>HYPERLINK("https://tkebrasil.atlassian.net/browse/" &amp; U44,U44)</f>
        <v/>
      </c>
      <c r="Z44" s="44">
        <f>HYPERLINK("https://tkebrasil.atlassian.net/browse/" &amp; V44,V44)</f>
        <v/>
      </c>
      <c r="AA44" s="44">
        <f>HYPERLINK("https://tkebrasil.atlassian.net/browse/" &amp; W44,W44)</f>
        <v/>
      </c>
      <c r="AB44" s="46" t="n"/>
      <c r="AC44" s="47" t="n"/>
      <c r="AD44" s="47" t="inlineStr">
        <is>
          <t>BL</t>
        </is>
      </c>
    </row>
    <row r="45" ht="15" customHeight="1">
      <c r="A45" s="28" t="inlineStr">
        <is>
          <t>ENS</t>
        </is>
      </c>
      <c r="B45" s="29" t="inlineStr">
        <is>
          <t>2026-08-10</t>
        </is>
      </c>
      <c r="C45" s="11" t="n">
        <v>0</v>
      </c>
      <c r="D45" s="11" t="n">
        <v>0</v>
      </c>
      <c r="E45" s="36" t="n"/>
      <c r="F45" s="36" t="n">
        <v>0</v>
      </c>
      <c r="G45" s="11" t="inlineStr">
        <is>
          <t>INTERFACE</t>
        </is>
      </c>
      <c r="H45" s="33" t="inlineStr">
        <is>
          <t>ALTERAÇÃO</t>
        </is>
      </c>
      <c r="I45" s="32" t="inlineStr">
        <is>
          <t>ensemble@thyssenkruppelevadores.com.br</t>
        </is>
      </c>
      <c r="J45" s="33" t="inlineStr">
        <is>
          <t>Giovani Perotto Mesquita</t>
        </is>
      </c>
      <c r="K45" s="11">
        <f>_xlfn.XLOOKUP(Planilha!$J45,Tabela9[Pessoas],Tabela9[UUID Jira])</f>
        <v/>
      </c>
      <c r="L45" s="33" t="inlineStr">
        <is>
          <t>Regina Albanus</t>
        </is>
      </c>
      <c r="M45" s="11">
        <f>_xlfn.XLOOKUP(Planilha!$L45,Tabela9[Pessoas],Tabela9[UUID Jira])</f>
        <v/>
      </c>
      <c r="N45" s="11" t="inlineStr">
        <is>
          <t>Épico 22</t>
        </is>
      </c>
      <c r="O45" s="11" t="inlineStr">
        <is>
          <t>Atividade 22</t>
        </is>
      </c>
      <c r="P45" s="11" t="inlineStr">
        <is>
          <t>Tarefa 22</t>
        </is>
      </c>
      <c r="Q45" s="11" t="inlineStr">
        <is>
          <t>Implementação</t>
        </is>
      </c>
      <c r="R45"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5" s="34" t="n">
        <v>2</v>
      </c>
      <c r="T45" s="11">
        <f>_xlfn.XLOOKUP(S45,Tabela4[Horas],Tabela4[Pontos],,1)</f>
        <v/>
      </c>
      <c r="U45" s="11" t="inlineStr">
        <is>
          <t>ENS-10833</t>
        </is>
      </c>
      <c r="V45" s="11" t="inlineStr">
        <is>
          <t>ENS-10834</t>
        </is>
      </c>
      <c r="W45" s="11" t="inlineStr">
        <is>
          <t>ENS-10835</t>
        </is>
      </c>
      <c r="X45" s="46" t="n"/>
      <c r="Y45" s="44">
        <f>HYPERLINK("https://tkebrasil.atlassian.net/browse/" &amp; U45,U45)</f>
        <v/>
      </c>
      <c r="Z45" s="44">
        <f>HYPERLINK("https://tkebrasil.atlassian.net/browse/" &amp; V45,V45)</f>
        <v/>
      </c>
      <c r="AA45" s="44">
        <f>HYPERLINK("https://tkebrasil.atlassian.net/browse/" &amp; W45,W45)</f>
        <v/>
      </c>
      <c r="AB45" s="46" t="n"/>
      <c r="AC45" s="47" t="n"/>
      <c r="AD45" s="47" t="inlineStr">
        <is>
          <t>BL</t>
        </is>
      </c>
    </row>
    <row r="46" ht="15" customHeight="1">
      <c r="A46" s="28" t="inlineStr">
        <is>
          <t>ENS</t>
        </is>
      </c>
      <c r="B46" s="29" t="inlineStr">
        <is>
          <t>2026-08-10</t>
        </is>
      </c>
      <c r="C46" s="11" t="n">
        <v>0</v>
      </c>
      <c r="D46" s="11" t="n">
        <v>0</v>
      </c>
      <c r="E46" s="36" t="n"/>
      <c r="F46" s="36" t="n">
        <v>0</v>
      </c>
      <c r="G46" s="11" t="inlineStr">
        <is>
          <t>INTERFACE</t>
        </is>
      </c>
      <c r="H46" s="33" t="inlineStr">
        <is>
          <t>ALTERAÇÃO</t>
        </is>
      </c>
      <c r="I46" s="32" t="inlineStr">
        <is>
          <t>ensemble@thyssenkruppelevadores.com.br</t>
        </is>
      </c>
      <c r="J46" s="33" t="inlineStr">
        <is>
          <t>Giovani Perotto Mesquita</t>
        </is>
      </c>
      <c r="K46" s="11">
        <f>_xlfn.XLOOKUP(Planilha!$J46,Tabela9[Pessoas],Tabela9[UUID Jira])</f>
        <v/>
      </c>
      <c r="L46" s="33" t="inlineStr">
        <is>
          <t>Regina Albanus</t>
        </is>
      </c>
      <c r="M46" s="11">
        <f>_xlfn.XLOOKUP(Planilha!$L46,Tabela9[Pessoas],Tabela9[UUID Jira])</f>
        <v/>
      </c>
      <c r="N46" s="11" t="inlineStr">
        <is>
          <t>Épico 23</t>
        </is>
      </c>
      <c r="O46" s="11" t="inlineStr">
        <is>
          <t>Atividade 23</t>
        </is>
      </c>
      <c r="P46" s="11" t="inlineStr">
        <is>
          <t>Tarefa 23</t>
        </is>
      </c>
      <c r="Q46" s="11" t="inlineStr">
        <is>
          <t>Implementação</t>
        </is>
      </c>
      <c r="R46" s="37" t="inlineStr">
        <is>
          <t>**OBJETIVO GERAL**  
[Descreva o objetivo geral da alteração]
**ITENS A SEREM ATENDIDOS:**
**1. [Item 1]**
**1.1. Tipo de Funcionalidade:**  
[Informar o tipo de funcionalidade]
**1.2. Complexidade:**  
[Alta, Média, Baixa, etc]
**1.3. Protótipo de Tela:**  
[Informações a respeito do protótipo da tela]
**1.4. Critérios de Validação:**  
a. [Critério de validação 1]  
b. [Critério de validação 2]</t>
        </is>
      </c>
      <c r="S46" s="34" t="n">
        <v>2</v>
      </c>
      <c r="T46" s="11">
        <f>_xlfn.XLOOKUP(S46,Tabela4[Horas],Tabela4[Pontos],,1)</f>
        <v/>
      </c>
      <c r="U46" s="11" t="inlineStr">
        <is>
          <t>ENS-10836</t>
        </is>
      </c>
      <c r="V46" s="11" t="inlineStr">
        <is>
          <t>ENS-10837</t>
        </is>
      </c>
      <c r="W46" s="11" t="inlineStr">
        <is>
          <t>ENS-10838</t>
        </is>
      </c>
      <c r="X46" s="46" t="n"/>
      <c r="Y46" s="44">
        <f>HYPERLINK("https://tkebrasil.atlassian.net/browse/" &amp; U46,U46)</f>
        <v/>
      </c>
      <c r="Z46" s="44">
        <f>HYPERLINK("https://tkebrasil.atlassian.net/browse/" &amp; V46,V46)</f>
        <v/>
      </c>
      <c r="AA46" s="44">
        <f>HYPERLINK("https://tkebrasil.atlassian.net/browse/" &amp; W46,W46)</f>
        <v/>
      </c>
      <c r="AB46" s="46" t="n"/>
      <c r="AC46" s="47" t="n"/>
      <c r="AD46" s="47" t="inlineStr">
        <is>
          <t>BL</t>
        </is>
      </c>
    </row>
  </sheetData>
  <autoFilter ref="A1:W46"/>
  <mergeCells count="1">
    <mergeCell ref="X1:AB1"/>
  </mergeCell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display="mailto:ensemble@thyssenkruppelevadores.com.br" r:id="rId6"/>
    <hyperlink xmlns:r="http://schemas.openxmlformats.org/officeDocument/2006/relationships" ref="I8" display="mailto:ensemble@thyssenkruppelevadores.com.br" r:id="rId7"/>
    <hyperlink xmlns:r="http://schemas.openxmlformats.org/officeDocument/2006/relationships" ref="I9" display="mailto:ensemble@thyssenkruppelevadores.com.br" r:id="rId8"/>
    <hyperlink xmlns:r="http://schemas.openxmlformats.org/officeDocument/2006/relationships" ref="I10" display="mailto:ensemble@thyssenkruppelevadores.com.br" r:id="rId9"/>
    <hyperlink xmlns:r="http://schemas.openxmlformats.org/officeDocument/2006/relationships" ref="D11" r:id="rId10"/>
    <hyperlink xmlns:r="http://schemas.openxmlformats.org/officeDocument/2006/relationships" ref="I11" display="mailto:ensemble@thyssenkruppelevadores.com.br" r:id="rId11"/>
    <hyperlink xmlns:r="http://schemas.openxmlformats.org/officeDocument/2006/relationships" ref="D12" r:id="rId12"/>
    <hyperlink xmlns:r="http://schemas.openxmlformats.org/officeDocument/2006/relationships" ref="I12" display="mailto:ensemble@thyssenkruppelevadores.com.br" r:id="rId13"/>
    <hyperlink xmlns:r="http://schemas.openxmlformats.org/officeDocument/2006/relationships" ref="I13" display="mailto:ensemble@thyssenkruppelevadores.com.br" r:id="rId14"/>
    <hyperlink xmlns:r="http://schemas.openxmlformats.org/officeDocument/2006/relationships" ref="I14" display="mailto:ensemble@thyssenkruppelevadores.com.br" r:id="rId15"/>
    <hyperlink xmlns:r="http://schemas.openxmlformats.org/officeDocument/2006/relationships" ref="I15" display="mailto:ensemble@thyssenkruppelevadores.com.br" r:id="rId16"/>
    <hyperlink xmlns:r="http://schemas.openxmlformats.org/officeDocument/2006/relationships" ref="I16" display="mailto:ensemble@thyssenkruppelevadores.com.br" r:id="rId17"/>
    <hyperlink xmlns:r="http://schemas.openxmlformats.org/officeDocument/2006/relationships" ref="D17" r:id="rId18"/>
    <hyperlink xmlns:r="http://schemas.openxmlformats.org/officeDocument/2006/relationships" ref="I17" display="mailto:ensemble@thyssenkruppelevadores.com.br" r:id="rId19"/>
    <hyperlink xmlns:r="http://schemas.openxmlformats.org/officeDocument/2006/relationships" ref="I18" display="mailto:ensemble@thyssenkruppelevadores.com.br" r:id="rId20"/>
    <hyperlink xmlns:r="http://schemas.openxmlformats.org/officeDocument/2006/relationships" ref="I19" display="mailto:ensemble@thyssenkruppelevadores.com.br" r:id="rId21"/>
    <hyperlink xmlns:r="http://schemas.openxmlformats.org/officeDocument/2006/relationships" ref="I20" display="mailto:ensemble@thyssenkruppelevadores.com.br" r:id="rId22"/>
    <hyperlink xmlns:r="http://schemas.openxmlformats.org/officeDocument/2006/relationships" ref="I21" display="mailto:ensemble@thyssenkruppelevadores.com.br" r:id="rId23"/>
    <hyperlink xmlns:r="http://schemas.openxmlformats.org/officeDocument/2006/relationships" ref="I22" r:id="rId24"/>
    <hyperlink xmlns:r="http://schemas.openxmlformats.org/officeDocument/2006/relationships" ref="I23" r:id="rId25"/>
    <hyperlink xmlns:r="http://schemas.openxmlformats.org/officeDocument/2006/relationships" ref="I24" r:id="rId26"/>
    <hyperlink xmlns:r="http://schemas.openxmlformats.org/officeDocument/2006/relationships" ref="I25" r:id="rId27"/>
    <hyperlink xmlns:r="http://schemas.openxmlformats.org/officeDocument/2006/relationships" ref="I26" r:id="rId28"/>
    <hyperlink xmlns:r="http://schemas.openxmlformats.org/officeDocument/2006/relationships" ref="I27" r:id="rId29"/>
    <hyperlink xmlns:r="http://schemas.openxmlformats.org/officeDocument/2006/relationships" ref="I28" r:id="rId30"/>
    <hyperlink xmlns:r="http://schemas.openxmlformats.org/officeDocument/2006/relationships" ref="I29" r:id="rId31"/>
    <hyperlink xmlns:r="http://schemas.openxmlformats.org/officeDocument/2006/relationships" ref="I30" r:id="rId32"/>
    <hyperlink xmlns:r="http://schemas.openxmlformats.org/officeDocument/2006/relationships" ref="I31" r:id="rId33"/>
    <hyperlink xmlns:r="http://schemas.openxmlformats.org/officeDocument/2006/relationships" ref="I32" r:id="rId34"/>
    <hyperlink xmlns:r="http://schemas.openxmlformats.org/officeDocument/2006/relationships" ref="I33" r:id="rId35"/>
    <hyperlink xmlns:r="http://schemas.openxmlformats.org/officeDocument/2006/relationships" ref="I34" r:id="rId36"/>
    <hyperlink xmlns:r="http://schemas.openxmlformats.org/officeDocument/2006/relationships" ref="I35" r:id="rId37"/>
    <hyperlink xmlns:r="http://schemas.openxmlformats.org/officeDocument/2006/relationships" ref="I36" r:id="rId38"/>
    <hyperlink xmlns:r="http://schemas.openxmlformats.org/officeDocument/2006/relationships" ref="I37" r:id="rId39"/>
    <hyperlink xmlns:r="http://schemas.openxmlformats.org/officeDocument/2006/relationships" ref="I38" r:id="rId40"/>
    <hyperlink xmlns:r="http://schemas.openxmlformats.org/officeDocument/2006/relationships" ref="I39" r:id="rId41"/>
    <hyperlink xmlns:r="http://schemas.openxmlformats.org/officeDocument/2006/relationships" ref="I40" r:id="rId42"/>
    <hyperlink xmlns:r="http://schemas.openxmlformats.org/officeDocument/2006/relationships" ref="I41" r:id="rId43"/>
    <hyperlink xmlns:r="http://schemas.openxmlformats.org/officeDocument/2006/relationships" ref="I42" r:id="rId44"/>
    <hyperlink xmlns:r="http://schemas.openxmlformats.org/officeDocument/2006/relationships" ref="I43" r:id="rId45"/>
    <hyperlink xmlns:r="http://schemas.openxmlformats.org/officeDocument/2006/relationships" ref="I44" r:id="rId46"/>
    <hyperlink xmlns:r="http://schemas.openxmlformats.org/officeDocument/2006/relationships" ref="I45" r:id="rId47"/>
    <hyperlink xmlns:r="http://schemas.openxmlformats.org/officeDocument/2006/relationships" ref="I46" r:id="rId48"/>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B2:H18"/>
  <sheetViews>
    <sheetView showGridLines="0" tabSelected="1" workbookViewId="0">
      <selection activeCell="N5" sqref="N5"/>
    </sheetView>
  </sheetViews>
  <sheetFormatPr baseColWidth="8" defaultRowHeight="14.4"/>
  <cols>
    <col width="3.33203125" customWidth="1" min="1" max="1"/>
    <col width="25.44140625" bestFit="1" customWidth="1" style="6" min="2" max="2"/>
    <col width="10.6640625" customWidth="1" min="3" max="8"/>
    <col width="3.88671875" customWidth="1" min="9" max="9"/>
  </cols>
  <sheetData>
    <row r="2">
      <c r="B2" s="42" t="n"/>
      <c r="C2" s="49">
        <f>Parâmetros!$J3</f>
        <v/>
      </c>
      <c r="D2" s="50">
        <f>Parâmetros!$J4</f>
        <v/>
      </c>
      <c r="E2" s="50">
        <f>Parâmetros!$J5</f>
        <v/>
      </c>
      <c r="F2" s="51" t="inlineStr">
        <is>
          <t>Total</t>
        </is>
      </c>
      <c r="G2" s="59" t="n"/>
      <c r="H2" s="82" t="n"/>
    </row>
    <row r="3" ht="14.4" customHeight="1">
      <c r="B3" s="54" t="inlineStr">
        <is>
          <t>Horas</t>
        </is>
      </c>
      <c r="C3" s="13">
        <f>SUMIF(Planilha!$AD$2:$AD$2968,C2,Planilha!$S$2:$S$2968)</f>
        <v/>
      </c>
      <c r="D3" s="13">
        <f>SUMIF(Planilha!$AD$2:$AD$2968,D2,Planilha!$S$2:$S$2968)</f>
        <v/>
      </c>
      <c r="E3" s="13">
        <f>SUMIF(Planilha!$AD$2:$AD$2968,E2,Planilha!$S$2:$S$2968)</f>
        <v/>
      </c>
      <c r="F3" s="79">
        <f>SUM(Planilha!S2:S2968)</f>
        <v/>
      </c>
      <c r="G3" s="83" t="n"/>
      <c r="H3" s="84" t="n"/>
    </row>
    <row r="4" ht="14.4" customHeight="1">
      <c r="B4" s="55" t="inlineStr">
        <is>
          <t>Pontos</t>
        </is>
      </c>
      <c r="C4" s="14">
        <f>SUMIF(Planilha!$AD$2:$AD$2968,C2,Planilha!$T$2:$T$2968)</f>
        <v/>
      </c>
      <c r="D4" s="14">
        <f>SUMIF(Planilha!$AD$2:$AD$2968,D2,Planilha!$T$2:$T$2968)</f>
        <v/>
      </c>
      <c r="E4" s="14">
        <f>SUMIF(Planilha!$AD$2:$AD$2968,E2,Planilha!$T$2:$T$2968)</f>
        <v/>
      </c>
      <c r="F4" s="80">
        <f>SUM(Planilha!T2:T2968)</f>
        <v/>
      </c>
      <c r="G4" s="83" t="n"/>
      <c r="H4" s="84" t="n"/>
    </row>
    <row r="5" ht="14.4" customHeight="1">
      <c r="B5" s="55" t="inlineStr">
        <is>
          <t>Epicos</t>
        </is>
      </c>
      <c r="C5" s="13">
        <f>COUNTA(_xlfn.UNIQUE(Planilha!AE2:AE2968))-2</f>
        <v/>
      </c>
      <c r="D5" s="13">
        <f>COUNTA(_xlfn.UNIQUE(Planilha!AF2:AF2968))-2</f>
        <v/>
      </c>
      <c r="E5" s="13">
        <f>COUNTA(_xlfn.UNIQUE(Planilha!AG2:AG2968))-2</f>
        <v/>
      </c>
      <c r="F5" s="79">
        <f>COUNTA(_xlfn.UNIQUE(Planilha!U2:U2968))-1</f>
        <v/>
      </c>
      <c r="G5" s="83" t="n"/>
      <c r="H5" s="84" t="n"/>
    </row>
    <row r="6" ht="14.4" customHeight="1">
      <c r="B6" s="55" t="inlineStr">
        <is>
          <t>Stories</t>
        </is>
      </c>
      <c r="C6" s="13">
        <f>COUNTA(_xlfn.UNIQUE(Planilha!AH2:AH2968))-2</f>
        <v/>
      </c>
      <c r="D6" s="13">
        <f>COUNTA(_xlfn.UNIQUE(Planilha!AI2:AI2968))-2</f>
        <v/>
      </c>
      <c r="E6" s="13">
        <f>COUNTA(_xlfn.UNIQUE(Planilha!AJ2:AJ2968))-2</f>
        <v/>
      </c>
      <c r="F6" s="79">
        <f>COUNTA(_xlfn.UNIQUE(Planilha!V2:V2968))-1</f>
        <v/>
      </c>
      <c r="G6" s="83" t="n"/>
      <c r="H6" s="84" t="n"/>
    </row>
    <row r="7" ht="14.4" customHeight="1">
      <c r="B7" s="56" t="inlineStr">
        <is>
          <t>Tasks</t>
        </is>
      </c>
      <c r="C7" s="13">
        <f>COUNTA(_xlfn.UNIQUE(Planilha!AK2:AK2968))-2</f>
        <v/>
      </c>
      <c r="D7" s="13">
        <f>COUNTA(_xlfn.UNIQUE(Planilha!AL2:AL2968))-2</f>
        <v/>
      </c>
      <c r="E7" s="13">
        <f>COUNTA(_xlfn.UNIQUE(Planilha!AM2:AM2968))-2</f>
        <v/>
      </c>
      <c r="F7" s="79">
        <f>COUNTA(_xlfn.UNIQUE(Planilha!W2:W2968))-1</f>
        <v/>
      </c>
      <c r="G7" s="85" t="n"/>
      <c r="H7" s="86" t="n"/>
    </row>
    <row r="8" ht="14.4" customHeight="1">
      <c r="B8" s="87" t="n"/>
      <c r="C8" s="66" t="inlineStr">
        <is>
          <t>Firmadas</t>
        </is>
      </c>
      <c r="D8" s="88" t="n"/>
      <c r="E8" s="58" t="inlineStr">
        <is>
          <t>Livres</t>
        </is>
      </c>
      <c r="F8" s="88" t="n"/>
      <c r="G8" s="62" t="inlineStr">
        <is>
          <t>Horas</t>
        </is>
      </c>
      <c r="H8" s="64" t="inlineStr">
        <is>
          <t>Pontos</t>
        </is>
      </c>
    </row>
    <row r="9">
      <c r="B9" s="89" t="n"/>
      <c r="C9" s="52" t="inlineStr">
        <is>
          <t>Horas</t>
        </is>
      </c>
      <c r="D9" s="53" t="inlineStr">
        <is>
          <t>Pontos</t>
        </is>
      </c>
      <c r="E9" s="53" t="inlineStr">
        <is>
          <t>Horas</t>
        </is>
      </c>
      <c r="F9" s="53" t="inlineStr">
        <is>
          <t>Pontos</t>
        </is>
      </c>
      <c r="G9" s="90" t="n"/>
      <c r="H9" s="91" t="n"/>
    </row>
    <row r="10">
      <c r="B10" s="57">
        <f>Parâmetros!F3</f>
        <v/>
      </c>
      <c r="C10" s="13">
        <f>SUMIFS(Planilha!$S$2:$S$2968,Planilha!$L$2:$L$2968,B10,Planilha!$AC$2:$AC$2968,"X")</f>
        <v/>
      </c>
      <c r="D10" s="14">
        <f>SUMIFS(Planilha!$T$2:$T$2968,Planilha!$L$2:$L$2968,B10,Planilha!$AC$2:$AC$2968,"X")</f>
        <v/>
      </c>
      <c r="E10" s="13">
        <f>G10-C10</f>
        <v/>
      </c>
      <c r="F10" s="14">
        <f>H10-D10</f>
        <v/>
      </c>
      <c r="G10" s="79">
        <f>SUMIF(Planilha!$L$2:$L$2968,B10,Planilha!$S$2:$S$2968)</f>
        <v/>
      </c>
      <c r="H10" s="80">
        <f>SUMIF(Planilha!$L$2:$L$2968,B10,Planilha!$T$2:$T$2968)</f>
        <v/>
      </c>
    </row>
    <row r="11">
      <c r="B11" s="55">
        <f>Parâmetros!F4</f>
        <v/>
      </c>
      <c r="C11" s="13">
        <f>SUMIFS(Planilha!$S$2:$S$2968,Planilha!$L$2:$L$2968,B11,Planilha!$AC$2:$AC$2968,"X")</f>
        <v/>
      </c>
      <c r="D11" s="14">
        <f>SUMIFS(Planilha!$T$2:$T$2968,Planilha!$L$2:$L$2968,B11,Planilha!$AC$2:$AC$2968,"X")</f>
        <v/>
      </c>
      <c r="E11" s="13">
        <f>G11-C11</f>
        <v/>
      </c>
      <c r="F11" s="14">
        <f>H11-D11</f>
        <v/>
      </c>
      <c r="G11" s="79">
        <f>SUMIF(Planilha!$L$2:$L$2968,B11,Planilha!$S$2:$S$2968)</f>
        <v/>
      </c>
      <c r="H11" s="80">
        <f>SUMIF(Planilha!$L$2:$L$2968,B11,Planilha!$T$2:$T$2968)</f>
        <v/>
      </c>
    </row>
    <row r="12">
      <c r="B12" s="55">
        <f>Parâmetros!F5</f>
        <v/>
      </c>
      <c r="C12" s="13">
        <f>SUMIFS(Planilha!$S$2:$S$2968,Planilha!$L$2:$L$2968,B12,Planilha!$AC$2:$AC$2968,"X")</f>
        <v/>
      </c>
      <c r="D12" s="14">
        <f>SUMIFS(Planilha!$T$2:$T$2968,Planilha!$L$2:$L$2968,B12,Planilha!$AC$2:$AC$2968,"X")</f>
        <v/>
      </c>
      <c r="E12" s="13">
        <f>G12-C12</f>
        <v/>
      </c>
      <c r="F12" s="14">
        <f>H12-D12</f>
        <v/>
      </c>
      <c r="G12" s="79">
        <f>SUMIF(Planilha!$L$2:$L$2968,B12,Planilha!$S$2:$S$2968)</f>
        <v/>
      </c>
      <c r="H12" s="80">
        <f>SUMIF(Planilha!$L$2:$L$2968,B12,Planilha!$T$2:$T$2968)</f>
        <v/>
      </c>
    </row>
    <row r="13">
      <c r="B13" s="55">
        <f>Parâmetros!F6</f>
        <v/>
      </c>
      <c r="C13" s="13">
        <f>SUMIFS(Planilha!$S$2:$S$2968,Planilha!$L$2:$L$2968,B13,Planilha!$AC$2:$AC$2968,"X")</f>
        <v/>
      </c>
      <c r="D13" s="14">
        <f>SUMIFS(Planilha!$T$2:$T$2968,Planilha!$L$2:$L$2968,B13,Planilha!$AC$2:$AC$2968,"X")</f>
        <v/>
      </c>
      <c r="E13" s="13">
        <f>G13-C13</f>
        <v/>
      </c>
      <c r="F13" s="14">
        <f>H13-D13</f>
        <v/>
      </c>
      <c r="G13" s="79">
        <f>SUMIF(Planilha!$L$2:$L$2968,B13,Planilha!$S$2:$S$2968)</f>
        <v/>
      </c>
      <c r="H13" s="80">
        <f>SUMIF(Planilha!$L$2:$L$2968,B13,Planilha!$T$2:$T$2968)</f>
        <v/>
      </c>
    </row>
    <row r="14">
      <c r="B14" s="55">
        <f>Parâmetros!F7</f>
        <v/>
      </c>
      <c r="C14" s="13">
        <f>SUMIFS(Planilha!$S$2:$S$2968,Planilha!$L$2:$L$2968,B14,Planilha!$AC$2:$AC$2968,"X")</f>
        <v/>
      </c>
      <c r="D14" s="14">
        <f>SUMIFS(Planilha!$T$2:$T$2968,Planilha!$L$2:$L$2968,B14,Planilha!$AC$2:$AC$2968,"X")</f>
        <v/>
      </c>
      <c r="E14" s="13">
        <f>G14-C14</f>
        <v/>
      </c>
      <c r="F14" s="14">
        <f>H14-D14</f>
        <v/>
      </c>
      <c r="G14" s="79">
        <f>SUMIF(Planilha!$L$2:$L$2968,B14,Planilha!$S$2:$S$2968)</f>
        <v/>
      </c>
      <c r="H14" s="80">
        <f>SUMIF(Planilha!$L$2:$L$2968,B14,Planilha!$T$2:$T$2968)</f>
        <v/>
      </c>
    </row>
    <row r="15">
      <c r="B15" s="55">
        <f>Parâmetros!F8</f>
        <v/>
      </c>
      <c r="C15" s="13">
        <f>SUMIFS(Planilha!$S$2:$S$2968,Planilha!$L$2:$L$2968,B15,Planilha!$AC$2:$AC$2968,"X")</f>
        <v/>
      </c>
      <c r="D15" s="14">
        <f>SUMIFS(Planilha!$T$2:$T$2968,Planilha!$L$2:$L$2968,B15,Planilha!$AC$2:$AC$2968,"X")</f>
        <v/>
      </c>
      <c r="E15" s="13">
        <f>G15-C15</f>
        <v/>
      </c>
      <c r="F15" s="14">
        <f>H15-D15</f>
        <v/>
      </c>
      <c r="G15" s="79">
        <f>SUMIF(Planilha!$L$2:$L$2968,B15,Planilha!$S$2:$S$2968)</f>
        <v/>
      </c>
      <c r="H15" s="80">
        <f>SUMIF(Planilha!$L$2:$L$2968,B15,Planilha!$T$2:$T$2968)</f>
        <v/>
      </c>
    </row>
    <row r="16" ht="15" customHeight="1">
      <c r="B16" s="55">
        <f>Parâmetros!F9</f>
        <v/>
      </c>
      <c r="C16" s="13">
        <f>SUMIFS(Planilha!$S$2:$S$2968,Planilha!$L$2:$L$2968,B16,Planilha!$AC$2:$AC$2968,"X")</f>
        <v/>
      </c>
      <c r="D16" s="14">
        <f>SUMIFS(Planilha!$T$2:$T$2968,Planilha!$L$2:$L$2968,B16,Planilha!$AC$2:$AC$2968,"X")</f>
        <v/>
      </c>
      <c r="E16" s="13">
        <f>G16-C16</f>
        <v/>
      </c>
      <c r="F16" s="14">
        <f>H16-D16</f>
        <v/>
      </c>
      <c r="G16" s="79">
        <f>SUMIF(Planilha!$L$2:$L$2968,B16,Planilha!$S$2:$S$2968)</f>
        <v/>
      </c>
      <c r="H16" s="80">
        <f>SUMIF(Planilha!$L$2:$L$2968,B16,Planilha!$T$2:$T$2968)</f>
        <v/>
      </c>
    </row>
    <row r="17" ht="15" customHeight="1">
      <c r="B17" s="56">
        <f>Parâmetros!F10</f>
        <v/>
      </c>
      <c r="C17" s="13">
        <f>SUMIFS(Planilha!$S$2:$S$2968,Planilha!$L$2:$L$2968,B17,Planilha!$AC$2:$AC$2968,"X")</f>
        <v/>
      </c>
      <c r="D17" s="14">
        <f>SUMIFS(Planilha!$T$2:$T$2968,Planilha!$L$2:$L$2968,B17,Planilha!$AC$2:$AC$2968,"X")</f>
        <v/>
      </c>
      <c r="E17" s="13">
        <f>G17-C17</f>
        <v/>
      </c>
      <c r="F17" s="14">
        <f>H17-D17</f>
        <v/>
      </c>
      <c r="G17" s="79">
        <f>SUMIF(Planilha!$L$2:$L$2968,B17,Planilha!$S$2:$S$2968)</f>
        <v/>
      </c>
      <c r="H17" s="80">
        <f>SUMIF(Planilha!$L$2:$L$2968,B17,Planilha!$T$2:$T$2968)</f>
        <v/>
      </c>
    </row>
    <row r="18">
      <c r="B18" s="8" t="n"/>
      <c r="C18" s="79">
        <f>SUM(C10:C17)</f>
        <v/>
      </c>
      <c r="D18" s="80">
        <f>SUM(D10:D17)</f>
        <v/>
      </c>
      <c r="E18" s="79">
        <f>SUM(E10:E17)</f>
        <v/>
      </c>
      <c r="F18" s="80">
        <f>SUM(F10:F17)</f>
        <v/>
      </c>
      <c r="G18" s="77">
        <f>SUM(G10:G17)</f>
        <v/>
      </c>
      <c r="H18" s="78">
        <f>SUM(H10:H17)</f>
        <v/>
      </c>
    </row>
  </sheetData>
  <mergeCells count="6">
    <mergeCell ref="G2:H7"/>
    <mergeCell ref="G8:G9"/>
    <mergeCell ref="H8:H9"/>
    <mergeCell ref="B8:B9"/>
    <mergeCell ref="E8:F8"/>
    <mergeCell ref="C8:D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N12"/>
  <sheetViews>
    <sheetView showGridLines="0" workbookViewId="0">
      <selection activeCell="H15" sqref="H15"/>
    </sheetView>
  </sheetViews>
  <sheetFormatPr baseColWidth="8" defaultColWidth="8.6640625" defaultRowHeight="14.4"/>
  <cols>
    <col width="2.33203125" customWidth="1" min="1" max="1"/>
    <col width="23.88671875" bestFit="1" customWidth="1" min="2" max="2"/>
    <col width="2.33203125" customWidth="1" min="3" max="3"/>
    <col width="19.6640625" customWidth="1" min="4" max="4"/>
    <col width="2.33203125" customWidth="1" min="5" max="5"/>
    <col width="25.21875" customWidth="1" min="6" max="6"/>
    <col width="9.44140625" bestFit="1" customWidth="1" min="7" max="7"/>
    <col width="43.44140625" bestFit="1" customWidth="1" min="8" max="8"/>
    <col width="2.33203125" customWidth="1" min="9" max="9"/>
    <col width="7.88671875" bestFit="1" customWidth="1" min="10" max="10"/>
    <col width="33.33203125" bestFit="1" customWidth="1" min="11" max="11"/>
    <col width="2.33203125" customWidth="1" min="12" max="12"/>
    <col width="8.33203125" bestFit="1" customWidth="1" min="13" max="13"/>
    <col width="9.33203125" bestFit="1" customWidth="1" min="14" max="14"/>
  </cols>
  <sheetData>
    <row r="2">
      <c r="B2" s="1" t="inlineStr">
        <is>
          <t>Tipos Jira</t>
        </is>
      </c>
      <c r="D2" s="1" t="inlineStr">
        <is>
          <t>Etapa Jira</t>
        </is>
      </c>
      <c r="F2" t="inlineStr">
        <is>
          <t>Pessoas</t>
        </is>
      </c>
      <c r="G2" t="inlineStr">
        <is>
          <t>Role</t>
        </is>
      </c>
      <c r="H2" t="inlineStr">
        <is>
          <t>UUID Jira</t>
        </is>
      </c>
      <c r="J2" t="inlineStr">
        <is>
          <t>Tipos</t>
        </is>
      </c>
      <c r="K2" t="inlineStr">
        <is>
          <t>Descrição</t>
        </is>
      </c>
      <c r="M2" s="74" t="inlineStr">
        <is>
          <t>Horas</t>
        </is>
      </c>
      <c r="N2" s="74" t="inlineStr">
        <is>
          <t>Pontos</t>
        </is>
      </c>
    </row>
    <row r="3" ht="14.4" customHeight="1">
      <c r="B3" s="2" t="inlineStr">
        <is>
          <t>NOVO DESENVOLVIMENTO</t>
        </is>
      </c>
      <c r="D3" s="2" t="inlineStr">
        <is>
          <t>Análise Funcional</t>
        </is>
      </c>
      <c r="F3" t="inlineStr">
        <is>
          <t>Alexandre Trindade Pereira</t>
        </is>
      </c>
      <c r="G3" t="inlineStr">
        <is>
          <t>AMS</t>
        </is>
      </c>
      <c r="H3" t="inlineStr">
        <is>
          <t>712020:4a0c9d58-dbcd-4acf-b9ef-a74bff31dc8e</t>
        </is>
      </c>
      <c r="J3" t="inlineStr">
        <is>
          <t>BL</t>
        </is>
      </c>
      <c r="K3" t="inlineStr">
        <is>
          <t>Base Line</t>
        </is>
      </c>
      <c r="M3" s="76" t="n">
        <v>7.9</v>
      </c>
      <c r="N3" s="76" t="n">
        <v>0.5</v>
      </c>
    </row>
    <row r="4">
      <c r="B4" s="2" t="inlineStr">
        <is>
          <t>ALTERAÇÃO</t>
        </is>
      </c>
      <c r="D4" s="2" t="inlineStr">
        <is>
          <t>Implementação</t>
        </is>
      </c>
      <c r="F4" t="inlineStr">
        <is>
          <t>Giovani Perotto Mesquita</t>
        </is>
      </c>
      <c r="G4" t="inlineStr">
        <is>
          <t>PO</t>
        </is>
      </c>
      <c r="H4" t="inlineStr">
        <is>
          <t>712020:8364b9cf-88a2-4399-9f86-fff7bed77ce2</t>
        </is>
      </c>
      <c r="J4" t="inlineStr">
        <is>
          <t>CR</t>
        </is>
      </c>
      <c r="K4" t="inlineStr">
        <is>
          <t>Atividades remuneradas extra não BL</t>
        </is>
      </c>
      <c r="M4" s="76" t="n">
        <v>23.9</v>
      </c>
      <c r="N4" s="76" t="n">
        <v>1</v>
      </c>
    </row>
    <row r="5">
      <c r="B5" s="2" t="inlineStr">
        <is>
          <t>DÚVIDA</t>
        </is>
      </c>
      <c r="D5" s="2" t="inlineStr">
        <is>
          <t>Execução de Testes</t>
        </is>
      </c>
      <c r="F5" t="inlineStr">
        <is>
          <t>Luis Henrique Petkovicz</t>
        </is>
      </c>
      <c r="G5" t="inlineStr">
        <is>
          <t>Developer</t>
        </is>
      </c>
      <c r="H5" t="inlineStr">
        <is>
          <t>557058:43e80a76-deba-4dd8-b64d-c7c8e99c6312</t>
        </is>
      </c>
      <c r="J5" t="inlineStr">
        <is>
          <t>MP</t>
        </is>
      </c>
      <c r="K5" t="inlineStr">
        <is>
          <t>Micro Projeto</t>
        </is>
      </c>
      <c r="M5" s="76" t="n">
        <v>39.9</v>
      </c>
      <c r="N5" s="76" t="n">
        <v>2</v>
      </c>
    </row>
    <row r="6">
      <c r="B6" s="3" t="inlineStr">
        <is>
          <t>ERRO</t>
        </is>
      </c>
      <c r="D6" s="2" t="inlineStr">
        <is>
          <t>Demonstração-Aceite</t>
        </is>
      </c>
      <c r="F6" t="inlineStr">
        <is>
          <t>Luiz Felipe Brandão da Silva</t>
        </is>
      </c>
      <c r="G6" t="inlineStr">
        <is>
          <t>Developer</t>
        </is>
      </c>
      <c r="H6" t="inlineStr">
        <is>
          <t>6245e14af6a26900695d5c1c</t>
        </is>
      </c>
      <c r="M6" s="76" t="n">
        <v>59.9</v>
      </c>
      <c r="N6" s="76" t="n">
        <v>3</v>
      </c>
    </row>
    <row r="7">
      <c r="D7" s="2" t="inlineStr">
        <is>
          <t>Preparação de Dados</t>
        </is>
      </c>
      <c r="F7" t="inlineStr">
        <is>
          <t>Pablo Rocha</t>
        </is>
      </c>
      <c r="G7" t="inlineStr">
        <is>
          <t>Developer</t>
        </is>
      </c>
      <c r="H7" t="inlineStr">
        <is>
          <t>557058:004709f9-0a88-4979-a875-f58ca3985cf7</t>
        </is>
      </c>
      <c r="M7" s="76" t="n">
        <v>79.90000000000001</v>
      </c>
      <c r="N7" s="76" t="n">
        <v>5</v>
      </c>
    </row>
    <row r="8">
      <c r="D8" s="2" t="inlineStr">
        <is>
          <t>Análise Técnica</t>
        </is>
      </c>
      <c r="F8" t="inlineStr">
        <is>
          <t>Regina Albanus</t>
        </is>
      </c>
      <c r="G8" t="inlineStr">
        <is>
          <t>Developer</t>
        </is>
      </c>
      <c r="H8" t="inlineStr">
        <is>
          <t>557058:330c824e-66ab-4df0-b7eb-8ddf9d578a4e</t>
        </is>
      </c>
      <c r="M8" s="76" t="n">
        <v>99.90000000000001</v>
      </c>
      <c r="N8" s="76" t="n">
        <v>8</v>
      </c>
    </row>
    <row r="9" ht="14.4" customHeight="1">
      <c r="D9" s="2" t="inlineStr">
        <is>
          <t>Caso de Teste</t>
        </is>
      </c>
      <c r="F9" t="inlineStr">
        <is>
          <t>Stephanie Oliveira</t>
        </is>
      </c>
      <c r="G9" t="inlineStr">
        <is>
          <t>PO</t>
        </is>
      </c>
      <c r="H9" t="inlineStr">
        <is>
          <t>606b1d7bbc3c3f006ffa75a2</t>
        </is>
      </c>
      <c r="M9" s="76" t="n">
        <v>9999</v>
      </c>
      <c r="N9" s="76" t="n">
        <v>13</v>
      </c>
    </row>
    <row r="10" ht="15" customHeight="1">
      <c r="D10" s="2" t="inlineStr">
        <is>
          <t>Teste Unitário</t>
        </is>
      </c>
      <c r="F10" t="inlineStr">
        <is>
          <t>Tanise Sarmento</t>
        </is>
      </c>
      <c r="G10" t="inlineStr">
        <is>
          <t>PO</t>
        </is>
      </c>
      <c r="H10" t="inlineStr">
        <is>
          <t>712020:4d5b2de5-c33f-44cb-8545-f17228d08baf</t>
        </is>
      </c>
    </row>
    <row r="11">
      <c r="D11" s="2" t="inlineStr">
        <is>
          <t>Plano de Testes</t>
        </is>
      </c>
    </row>
    <row r="12">
      <c r="D12" s="3" t="inlineStr">
        <is>
          <t>Caso de Uso</t>
        </is>
      </c>
    </row>
  </sheetData>
  <pageMargins left="0.511811024" right="0.511811024" top="0.787401575" bottom="0.787401575" header="0.31496062" footer="0.31496062"/>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PEROTTO MESQUITA, GIOVANI</dc:creator>
  <dcterms:created xsi:type="dcterms:W3CDTF">2025-09-30T14:23:45Z</dcterms:created>
  <dcterms:modified xsi:type="dcterms:W3CDTF">2026-08-10T21:46:43Z</dcterms:modified>
  <cp:lastModifiedBy>PEROTTO MESQUITA, GIOVANI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0x0101003AA76C533D05464883196520997177C7</vt:lpwstr>
  </property>
  <property name="MediaServiceImageTags" fmtid="{D5CDD505-2E9C-101B-9397-08002B2CF9AE}" pid="3">
    <vt:lpwstr/>
  </property>
</Properties>
</file>