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iova\Projetos\Help\JIRA\"/>
    </mc:Choice>
  </mc:AlternateContent>
  <xr:revisionPtr revIDLastSave="0" documentId="13_ncr:1_{DEE156DF-55F6-4DA0-BF3B-C7DB9757002D}" xr6:coauthVersionLast="47" xr6:coauthVersionMax="47" xr10:uidLastSave="{00000000-0000-0000-0000-000000000000}"/>
  <bookViews>
    <workbookView xWindow="-120" yWindow="-120" windowWidth="38640" windowHeight="15720" tabRatio="458" activeTab="2" xr2:uid="{00000000-000D-0000-FFFF-FFFF00000000}"/>
  </bookViews>
  <sheets>
    <sheet name="Planilha" sheetId="1" r:id="rId1"/>
    <sheet name="Firmadas" sheetId="2" r:id="rId2"/>
    <sheet name="Métricas" sheetId="3" r:id="rId3"/>
    <sheet name="Parâmetros" sheetId="4" r:id="rId4"/>
  </sheets>
  <definedNames>
    <definedName name="_xlnm._FilterDatabase" localSheetId="1" hidden="1">Firmadas!$A$1:$F$155</definedName>
    <definedName name="_xlnm._FilterDatabase" localSheetId="0" hidden="1">Planilha!$A$1:$W$25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6" i="1" l="1"/>
  <c r="Z26" i="1"/>
  <c r="AA26" i="1"/>
  <c r="Y27" i="1"/>
  <c r="Z27" i="1"/>
  <c r="AA27" i="1"/>
  <c r="A27" i="2" s="1"/>
  <c r="Y28" i="1"/>
  <c r="Z28" i="1"/>
  <c r="AA28" i="1"/>
  <c r="Y29" i="1"/>
  <c r="Z29" i="1"/>
  <c r="AA29" i="1"/>
  <c r="Y30" i="1"/>
  <c r="Z30" i="1"/>
  <c r="AA30" i="1"/>
  <c r="A30" i="2" s="1"/>
  <c r="Y31" i="1"/>
  <c r="Z31" i="1"/>
  <c r="AA31" i="1"/>
  <c r="A31" i="2" s="1"/>
  <c r="Y32" i="1"/>
  <c r="Z32" i="1"/>
  <c r="AA32" i="1"/>
  <c r="Y33" i="1"/>
  <c r="Z33" i="1"/>
  <c r="AA33" i="1"/>
  <c r="A33" i="2" s="1"/>
  <c r="Y34" i="1"/>
  <c r="Z34" i="1"/>
  <c r="AA34" i="1"/>
  <c r="A34" i="2" s="1"/>
  <c r="Y35" i="1"/>
  <c r="Z35" i="1"/>
  <c r="AA35" i="1"/>
  <c r="Y36" i="1"/>
  <c r="Z36" i="1"/>
  <c r="AA36" i="1"/>
  <c r="Y37" i="1"/>
  <c r="Z37" i="1"/>
  <c r="AA37" i="1"/>
  <c r="Y38" i="1"/>
  <c r="Z38" i="1"/>
  <c r="AA38" i="1"/>
  <c r="H19" i="3"/>
  <c r="F19" i="3" s="1"/>
  <c r="G19" i="3"/>
  <c r="E19" i="3" s="1"/>
  <c r="C19" i="3"/>
  <c r="B19" i="3"/>
  <c r="D19" i="3" s="1"/>
  <c r="C18" i="3"/>
  <c r="B18" i="3"/>
  <c r="H18" i="3" s="1"/>
  <c r="H17" i="3"/>
  <c r="F17" i="3" s="1"/>
  <c r="D17" i="3"/>
  <c r="B17" i="3"/>
  <c r="G17" i="3" s="1"/>
  <c r="H16" i="3"/>
  <c r="G16" i="3"/>
  <c r="B16" i="3"/>
  <c r="D16" i="3" s="1"/>
  <c r="G15" i="3"/>
  <c r="E15" i="3" s="1"/>
  <c r="C15" i="3"/>
  <c r="B15" i="3"/>
  <c r="D15" i="3" s="1"/>
  <c r="C14" i="3"/>
  <c r="B14" i="3"/>
  <c r="H14" i="3" s="1"/>
  <c r="H13" i="3"/>
  <c r="F13" i="3" s="1"/>
  <c r="D13" i="3"/>
  <c r="B13" i="3"/>
  <c r="G13" i="3" s="1"/>
  <c r="G12" i="3"/>
  <c r="B12" i="3"/>
  <c r="D12" i="3" s="1"/>
  <c r="F9" i="3"/>
  <c r="F8" i="3"/>
  <c r="F7" i="3"/>
  <c r="F3" i="3"/>
  <c r="E2" i="3"/>
  <c r="E3" i="3" s="1"/>
  <c r="D2" i="3"/>
  <c r="D3" i="3" s="1"/>
  <c r="C2" i="3"/>
  <c r="C3" i="3" s="1"/>
  <c r="F155" i="2"/>
  <c r="E155" i="2"/>
  <c r="D155" i="2"/>
  <c r="C155" i="2"/>
  <c r="B155" i="2"/>
  <c r="A155" i="2"/>
  <c r="F154" i="2"/>
  <c r="E154" i="2"/>
  <c r="D154" i="2"/>
  <c r="C154" i="2"/>
  <c r="B154" i="2"/>
  <c r="A154" i="2"/>
  <c r="F153" i="2"/>
  <c r="E153" i="2"/>
  <c r="D153" i="2"/>
  <c r="C153" i="2"/>
  <c r="B153" i="2"/>
  <c r="A153" i="2"/>
  <c r="F152" i="2"/>
  <c r="E152" i="2"/>
  <c r="D152" i="2"/>
  <c r="C152" i="2"/>
  <c r="B152" i="2"/>
  <c r="A152" i="2"/>
  <c r="F151" i="2"/>
  <c r="E151" i="2"/>
  <c r="D151" i="2"/>
  <c r="C151" i="2"/>
  <c r="B151" i="2"/>
  <c r="A151" i="2"/>
  <c r="F150" i="2"/>
  <c r="E150" i="2"/>
  <c r="D150" i="2"/>
  <c r="C150" i="2"/>
  <c r="B150" i="2"/>
  <c r="A150" i="2"/>
  <c r="F149" i="2"/>
  <c r="E149" i="2"/>
  <c r="D149" i="2"/>
  <c r="C149" i="2"/>
  <c r="B149" i="2"/>
  <c r="A149" i="2"/>
  <c r="F148" i="2"/>
  <c r="E148" i="2"/>
  <c r="D148" i="2"/>
  <c r="C148" i="2"/>
  <c r="B148" i="2"/>
  <c r="A148" i="2"/>
  <c r="F147" i="2"/>
  <c r="E147" i="2"/>
  <c r="D147" i="2"/>
  <c r="C147" i="2"/>
  <c r="B147" i="2"/>
  <c r="A147" i="2"/>
  <c r="F146" i="2"/>
  <c r="E146" i="2"/>
  <c r="D146" i="2"/>
  <c r="C146" i="2"/>
  <c r="B146" i="2"/>
  <c r="A146" i="2"/>
  <c r="F145" i="2"/>
  <c r="E145" i="2"/>
  <c r="D145" i="2"/>
  <c r="C145" i="2"/>
  <c r="B145" i="2"/>
  <c r="A145" i="2"/>
  <c r="F144" i="2"/>
  <c r="E144" i="2"/>
  <c r="D144" i="2"/>
  <c r="C144" i="2"/>
  <c r="B144" i="2"/>
  <c r="A144" i="2"/>
  <c r="F143" i="2"/>
  <c r="E143" i="2"/>
  <c r="D143" i="2"/>
  <c r="C143" i="2"/>
  <c r="B143" i="2"/>
  <c r="A143" i="2"/>
  <c r="F142" i="2"/>
  <c r="E142" i="2"/>
  <c r="D142" i="2"/>
  <c r="C142" i="2"/>
  <c r="B142" i="2"/>
  <c r="A142" i="2"/>
  <c r="F141" i="2"/>
  <c r="E141" i="2"/>
  <c r="D141" i="2"/>
  <c r="C141" i="2"/>
  <c r="B141" i="2"/>
  <c r="A141" i="2"/>
  <c r="F140" i="2"/>
  <c r="E140" i="2"/>
  <c r="D140" i="2"/>
  <c r="C140" i="2"/>
  <c r="B140" i="2"/>
  <c r="A140" i="2"/>
  <c r="F139" i="2"/>
  <c r="E139" i="2"/>
  <c r="D139" i="2"/>
  <c r="C139" i="2"/>
  <c r="B139" i="2"/>
  <c r="A139" i="2"/>
  <c r="F138" i="2"/>
  <c r="E138" i="2"/>
  <c r="D138" i="2"/>
  <c r="C138" i="2"/>
  <c r="B138" i="2"/>
  <c r="A138" i="2"/>
  <c r="F137" i="2"/>
  <c r="E137" i="2"/>
  <c r="D137" i="2"/>
  <c r="C137" i="2"/>
  <c r="B137" i="2"/>
  <c r="A137" i="2"/>
  <c r="F136" i="2"/>
  <c r="E136" i="2"/>
  <c r="D136" i="2"/>
  <c r="C136" i="2"/>
  <c r="B136" i="2"/>
  <c r="A136" i="2"/>
  <c r="F135" i="2"/>
  <c r="E135" i="2"/>
  <c r="D135" i="2"/>
  <c r="C135" i="2"/>
  <c r="B135" i="2"/>
  <c r="A135" i="2"/>
  <c r="F134" i="2"/>
  <c r="E134" i="2"/>
  <c r="D134" i="2"/>
  <c r="C134" i="2"/>
  <c r="B134" i="2"/>
  <c r="A134" i="2"/>
  <c r="F133" i="2"/>
  <c r="E133" i="2"/>
  <c r="D133" i="2"/>
  <c r="C133" i="2"/>
  <c r="B133" i="2"/>
  <c r="A133" i="2"/>
  <c r="F132" i="2"/>
  <c r="E132" i="2"/>
  <c r="D132" i="2"/>
  <c r="C132" i="2"/>
  <c r="B132" i="2"/>
  <c r="A132" i="2"/>
  <c r="F131" i="2"/>
  <c r="E131" i="2"/>
  <c r="D131" i="2"/>
  <c r="C131" i="2"/>
  <c r="B131" i="2"/>
  <c r="A131" i="2"/>
  <c r="F130" i="2"/>
  <c r="E130" i="2"/>
  <c r="D130" i="2"/>
  <c r="C130" i="2"/>
  <c r="B130" i="2"/>
  <c r="A130" i="2"/>
  <c r="F129" i="2"/>
  <c r="E129" i="2"/>
  <c r="D129" i="2"/>
  <c r="C129" i="2"/>
  <c r="B129" i="2"/>
  <c r="A129" i="2"/>
  <c r="F128" i="2"/>
  <c r="E128" i="2"/>
  <c r="D128" i="2"/>
  <c r="C128" i="2"/>
  <c r="B128" i="2"/>
  <c r="A128" i="2"/>
  <c r="F127" i="2"/>
  <c r="E127" i="2"/>
  <c r="D127" i="2"/>
  <c r="C127" i="2"/>
  <c r="B127" i="2"/>
  <c r="A127" i="2"/>
  <c r="F126" i="2"/>
  <c r="E126" i="2"/>
  <c r="D126" i="2"/>
  <c r="C126" i="2"/>
  <c r="B126" i="2"/>
  <c r="A126" i="2"/>
  <c r="F125" i="2"/>
  <c r="E125" i="2"/>
  <c r="D125" i="2"/>
  <c r="C125" i="2"/>
  <c r="B125" i="2"/>
  <c r="A125" i="2"/>
  <c r="F124" i="2"/>
  <c r="E124" i="2"/>
  <c r="D124" i="2"/>
  <c r="C124" i="2"/>
  <c r="B124" i="2"/>
  <c r="A124" i="2"/>
  <c r="F123" i="2"/>
  <c r="E123" i="2"/>
  <c r="D123" i="2"/>
  <c r="C123" i="2"/>
  <c r="B123" i="2"/>
  <c r="A123" i="2"/>
  <c r="F122" i="2"/>
  <c r="E122" i="2"/>
  <c r="D122" i="2"/>
  <c r="C122" i="2"/>
  <c r="B122" i="2"/>
  <c r="A122" i="2"/>
  <c r="F121" i="2"/>
  <c r="E121" i="2"/>
  <c r="D121" i="2"/>
  <c r="C121" i="2"/>
  <c r="B121" i="2"/>
  <c r="A121" i="2"/>
  <c r="F120" i="2"/>
  <c r="E120" i="2"/>
  <c r="D120" i="2"/>
  <c r="C120" i="2"/>
  <c r="B120" i="2"/>
  <c r="A120" i="2"/>
  <c r="F119" i="2"/>
  <c r="E119" i="2"/>
  <c r="D119" i="2"/>
  <c r="C119" i="2"/>
  <c r="B119" i="2"/>
  <c r="A119" i="2"/>
  <c r="F118" i="2"/>
  <c r="E118" i="2"/>
  <c r="D118" i="2"/>
  <c r="C118" i="2"/>
  <c r="B118" i="2"/>
  <c r="A118" i="2"/>
  <c r="F117" i="2"/>
  <c r="E117" i="2"/>
  <c r="D117" i="2"/>
  <c r="C117" i="2"/>
  <c r="B117" i="2"/>
  <c r="A117" i="2"/>
  <c r="F116" i="2"/>
  <c r="E116" i="2"/>
  <c r="D116" i="2"/>
  <c r="C116" i="2"/>
  <c r="B116" i="2"/>
  <c r="A116" i="2"/>
  <c r="F115" i="2"/>
  <c r="E115" i="2"/>
  <c r="D115" i="2"/>
  <c r="C115" i="2"/>
  <c r="B115" i="2"/>
  <c r="A115" i="2"/>
  <c r="F114" i="2"/>
  <c r="E114" i="2"/>
  <c r="D114" i="2"/>
  <c r="C114" i="2"/>
  <c r="B114" i="2"/>
  <c r="A114" i="2"/>
  <c r="F113" i="2"/>
  <c r="E113" i="2"/>
  <c r="D113" i="2"/>
  <c r="C113" i="2"/>
  <c r="B113" i="2"/>
  <c r="A113" i="2"/>
  <c r="F112" i="2"/>
  <c r="E112" i="2"/>
  <c r="D112" i="2"/>
  <c r="C112" i="2"/>
  <c r="B112" i="2"/>
  <c r="A112" i="2"/>
  <c r="F111" i="2"/>
  <c r="E111" i="2"/>
  <c r="D111" i="2"/>
  <c r="C111" i="2"/>
  <c r="B111" i="2"/>
  <c r="A111" i="2"/>
  <c r="F110" i="2"/>
  <c r="E110" i="2"/>
  <c r="D110" i="2"/>
  <c r="C110" i="2"/>
  <c r="B110" i="2"/>
  <c r="A110" i="2"/>
  <c r="F109" i="2"/>
  <c r="E109" i="2"/>
  <c r="D109" i="2"/>
  <c r="C109" i="2"/>
  <c r="B109" i="2"/>
  <c r="A109" i="2"/>
  <c r="F108" i="2"/>
  <c r="E108" i="2"/>
  <c r="D108" i="2"/>
  <c r="C108" i="2"/>
  <c r="B108" i="2"/>
  <c r="A108" i="2"/>
  <c r="F107" i="2"/>
  <c r="E107" i="2"/>
  <c r="D107" i="2"/>
  <c r="C107" i="2"/>
  <c r="B107" i="2"/>
  <c r="A107" i="2"/>
  <c r="F106" i="2"/>
  <c r="E106" i="2"/>
  <c r="D106" i="2"/>
  <c r="C106" i="2"/>
  <c r="B106" i="2"/>
  <c r="A106" i="2"/>
  <c r="F105" i="2"/>
  <c r="E105" i="2"/>
  <c r="D105" i="2"/>
  <c r="C105" i="2"/>
  <c r="B105" i="2"/>
  <c r="A105" i="2"/>
  <c r="F104" i="2"/>
  <c r="E104" i="2"/>
  <c r="D104" i="2"/>
  <c r="C104" i="2"/>
  <c r="B104" i="2"/>
  <c r="A104" i="2"/>
  <c r="F103" i="2"/>
  <c r="E103" i="2"/>
  <c r="D103" i="2"/>
  <c r="C103" i="2"/>
  <c r="B103" i="2"/>
  <c r="A103" i="2"/>
  <c r="F102" i="2"/>
  <c r="E102" i="2"/>
  <c r="D102" i="2"/>
  <c r="C102" i="2"/>
  <c r="B102" i="2"/>
  <c r="A102" i="2"/>
  <c r="F101" i="2"/>
  <c r="E101" i="2"/>
  <c r="D101" i="2"/>
  <c r="C101" i="2"/>
  <c r="B101" i="2"/>
  <c r="A101" i="2"/>
  <c r="F100" i="2"/>
  <c r="E100" i="2"/>
  <c r="D100" i="2"/>
  <c r="C100" i="2"/>
  <c r="B100" i="2"/>
  <c r="A100" i="2"/>
  <c r="F99" i="2"/>
  <c r="E99" i="2"/>
  <c r="D99" i="2"/>
  <c r="C99" i="2"/>
  <c r="B99" i="2"/>
  <c r="A99" i="2"/>
  <c r="F98" i="2"/>
  <c r="E98" i="2"/>
  <c r="D98" i="2"/>
  <c r="C98" i="2"/>
  <c r="B98" i="2"/>
  <c r="A98" i="2"/>
  <c r="F97" i="2"/>
  <c r="E97" i="2"/>
  <c r="D97" i="2"/>
  <c r="C97" i="2"/>
  <c r="B97" i="2"/>
  <c r="A97" i="2"/>
  <c r="F96" i="2"/>
  <c r="E96" i="2"/>
  <c r="D96" i="2"/>
  <c r="C96" i="2"/>
  <c r="B96" i="2"/>
  <c r="A96" i="2"/>
  <c r="F95" i="2"/>
  <c r="E95" i="2"/>
  <c r="D95" i="2"/>
  <c r="C95" i="2"/>
  <c r="B95" i="2"/>
  <c r="A95" i="2"/>
  <c r="F94" i="2"/>
  <c r="E94" i="2"/>
  <c r="D94" i="2"/>
  <c r="C94" i="2"/>
  <c r="B94" i="2"/>
  <c r="A94" i="2"/>
  <c r="F93" i="2"/>
  <c r="E93" i="2"/>
  <c r="D93" i="2"/>
  <c r="C93" i="2"/>
  <c r="B93" i="2"/>
  <c r="A93" i="2"/>
  <c r="F92" i="2"/>
  <c r="E92" i="2"/>
  <c r="D92" i="2"/>
  <c r="C92" i="2"/>
  <c r="B92" i="2"/>
  <c r="A92" i="2"/>
  <c r="F91" i="2"/>
  <c r="E91" i="2"/>
  <c r="D91" i="2"/>
  <c r="C91" i="2"/>
  <c r="B91" i="2"/>
  <c r="A91" i="2"/>
  <c r="F90" i="2"/>
  <c r="E90" i="2"/>
  <c r="D90" i="2"/>
  <c r="C90" i="2"/>
  <c r="B90" i="2"/>
  <c r="A90" i="2"/>
  <c r="F89" i="2"/>
  <c r="E89" i="2"/>
  <c r="D89" i="2"/>
  <c r="C89" i="2"/>
  <c r="B89" i="2"/>
  <c r="A89" i="2"/>
  <c r="F88" i="2"/>
  <c r="E88" i="2"/>
  <c r="D88" i="2"/>
  <c r="C88" i="2"/>
  <c r="B88" i="2"/>
  <c r="A88" i="2"/>
  <c r="F87" i="2"/>
  <c r="E87" i="2"/>
  <c r="D87" i="2"/>
  <c r="C87" i="2"/>
  <c r="B87" i="2"/>
  <c r="A87" i="2"/>
  <c r="F86" i="2"/>
  <c r="E86" i="2"/>
  <c r="D86" i="2"/>
  <c r="C86" i="2"/>
  <c r="B86" i="2"/>
  <c r="A86" i="2"/>
  <c r="F85" i="2"/>
  <c r="E85" i="2"/>
  <c r="D85" i="2"/>
  <c r="C85" i="2"/>
  <c r="B85" i="2"/>
  <c r="A85" i="2"/>
  <c r="F84" i="2"/>
  <c r="E84" i="2"/>
  <c r="D84" i="2"/>
  <c r="C84" i="2"/>
  <c r="B84" i="2"/>
  <c r="A84" i="2"/>
  <c r="F83" i="2"/>
  <c r="E83" i="2"/>
  <c r="D83" i="2"/>
  <c r="C83" i="2"/>
  <c r="B83" i="2"/>
  <c r="A83" i="2"/>
  <c r="F82" i="2"/>
  <c r="E82" i="2"/>
  <c r="D82" i="2"/>
  <c r="C82" i="2"/>
  <c r="B82" i="2"/>
  <c r="A82" i="2"/>
  <c r="F81" i="2"/>
  <c r="E81" i="2"/>
  <c r="D81" i="2"/>
  <c r="C81" i="2"/>
  <c r="B81" i="2"/>
  <c r="A81" i="2"/>
  <c r="F80" i="2"/>
  <c r="E80" i="2"/>
  <c r="D80" i="2"/>
  <c r="C80" i="2"/>
  <c r="B80" i="2"/>
  <c r="A80" i="2"/>
  <c r="F79" i="2"/>
  <c r="E79" i="2"/>
  <c r="D79" i="2"/>
  <c r="C79" i="2"/>
  <c r="B79" i="2"/>
  <c r="A79" i="2"/>
  <c r="F78" i="2"/>
  <c r="E78" i="2"/>
  <c r="D78" i="2"/>
  <c r="C78" i="2"/>
  <c r="B78" i="2"/>
  <c r="A78" i="2"/>
  <c r="F77" i="2"/>
  <c r="E77" i="2"/>
  <c r="D77" i="2"/>
  <c r="C77" i="2"/>
  <c r="B77" i="2"/>
  <c r="A77" i="2"/>
  <c r="F76" i="2"/>
  <c r="E76" i="2"/>
  <c r="D76" i="2"/>
  <c r="C76" i="2"/>
  <c r="B76" i="2"/>
  <c r="A76" i="2"/>
  <c r="F75" i="2"/>
  <c r="E75" i="2"/>
  <c r="D75" i="2"/>
  <c r="C75" i="2"/>
  <c r="B75" i="2"/>
  <c r="A75" i="2"/>
  <c r="F74" i="2"/>
  <c r="E74" i="2"/>
  <c r="D74" i="2"/>
  <c r="C74" i="2"/>
  <c r="B74" i="2"/>
  <c r="A74" i="2"/>
  <c r="F73" i="2"/>
  <c r="E73" i="2"/>
  <c r="D73" i="2"/>
  <c r="C73" i="2"/>
  <c r="B73" i="2"/>
  <c r="A73" i="2"/>
  <c r="F72" i="2"/>
  <c r="E72" i="2"/>
  <c r="D72" i="2"/>
  <c r="C72" i="2"/>
  <c r="B72" i="2"/>
  <c r="A72" i="2"/>
  <c r="F71" i="2"/>
  <c r="E71" i="2"/>
  <c r="D71" i="2"/>
  <c r="C71" i="2"/>
  <c r="B71" i="2"/>
  <c r="A71" i="2"/>
  <c r="F70" i="2"/>
  <c r="E70" i="2"/>
  <c r="D70" i="2"/>
  <c r="C70" i="2"/>
  <c r="B70" i="2"/>
  <c r="A70" i="2"/>
  <c r="F69" i="2"/>
  <c r="E69" i="2"/>
  <c r="D69" i="2"/>
  <c r="C69" i="2"/>
  <c r="B69" i="2"/>
  <c r="A69" i="2"/>
  <c r="F68" i="2"/>
  <c r="E68" i="2"/>
  <c r="D68" i="2"/>
  <c r="C68" i="2"/>
  <c r="B68" i="2"/>
  <c r="A68" i="2"/>
  <c r="F67" i="2"/>
  <c r="E67" i="2"/>
  <c r="D67" i="2"/>
  <c r="C67" i="2"/>
  <c r="B67" i="2"/>
  <c r="A67" i="2"/>
  <c r="F66" i="2"/>
  <c r="E66" i="2"/>
  <c r="D66" i="2"/>
  <c r="C66" i="2"/>
  <c r="B66" i="2"/>
  <c r="A66" i="2"/>
  <c r="F65" i="2"/>
  <c r="E65" i="2"/>
  <c r="D65" i="2"/>
  <c r="C65" i="2"/>
  <c r="B65" i="2"/>
  <c r="A65" i="2"/>
  <c r="F64" i="2"/>
  <c r="E64" i="2"/>
  <c r="D64" i="2"/>
  <c r="C64" i="2"/>
  <c r="B64" i="2"/>
  <c r="A64" i="2"/>
  <c r="F63" i="2"/>
  <c r="E63" i="2"/>
  <c r="D63" i="2"/>
  <c r="C63" i="2"/>
  <c r="B63" i="2"/>
  <c r="A63" i="2"/>
  <c r="F62" i="2"/>
  <c r="E62" i="2"/>
  <c r="D62" i="2"/>
  <c r="C62" i="2"/>
  <c r="B62" i="2"/>
  <c r="A62" i="2"/>
  <c r="F61" i="2"/>
  <c r="E61" i="2"/>
  <c r="D61" i="2"/>
  <c r="C61" i="2"/>
  <c r="B61" i="2"/>
  <c r="A61" i="2"/>
  <c r="F60" i="2"/>
  <c r="E60" i="2"/>
  <c r="D60" i="2"/>
  <c r="C60" i="2"/>
  <c r="B60" i="2"/>
  <c r="A60" i="2"/>
  <c r="F59" i="2"/>
  <c r="E59" i="2"/>
  <c r="D59" i="2"/>
  <c r="C59" i="2"/>
  <c r="B59" i="2"/>
  <c r="A59" i="2"/>
  <c r="F58" i="2"/>
  <c r="E58" i="2"/>
  <c r="D58" i="2"/>
  <c r="C58" i="2"/>
  <c r="B58" i="2"/>
  <c r="A58" i="2"/>
  <c r="F57" i="2"/>
  <c r="E57" i="2"/>
  <c r="D57" i="2"/>
  <c r="C57" i="2"/>
  <c r="B57" i="2"/>
  <c r="A57" i="2"/>
  <c r="F56" i="2"/>
  <c r="E56" i="2"/>
  <c r="D56" i="2"/>
  <c r="C56" i="2"/>
  <c r="B56" i="2"/>
  <c r="A56" i="2"/>
  <c r="F55" i="2"/>
  <c r="E55" i="2"/>
  <c r="D55" i="2"/>
  <c r="C55" i="2"/>
  <c r="B55" i="2"/>
  <c r="A55" i="2"/>
  <c r="F54" i="2"/>
  <c r="E54" i="2"/>
  <c r="D54" i="2"/>
  <c r="C54" i="2"/>
  <c r="B54" i="2"/>
  <c r="A54" i="2"/>
  <c r="F53" i="2"/>
  <c r="E53" i="2"/>
  <c r="D53" i="2"/>
  <c r="C53" i="2"/>
  <c r="B53" i="2"/>
  <c r="A53" i="2"/>
  <c r="F52" i="2"/>
  <c r="E52" i="2"/>
  <c r="D52" i="2"/>
  <c r="C52" i="2"/>
  <c r="B52" i="2"/>
  <c r="A52" i="2"/>
  <c r="F51" i="2"/>
  <c r="E51" i="2"/>
  <c r="D51" i="2"/>
  <c r="C51" i="2"/>
  <c r="B51" i="2"/>
  <c r="A51" i="2"/>
  <c r="F50" i="2"/>
  <c r="E50" i="2"/>
  <c r="D50" i="2"/>
  <c r="C50" i="2"/>
  <c r="B50" i="2"/>
  <c r="A50" i="2"/>
  <c r="F49" i="2"/>
  <c r="E49" i="2"/>
  <c r="D49" i="2"/>
  <c r="C49" i="2"/>
  <c r="B49" i="2"/>
  <c r="A49" i="2"/>
  <c r="F48" i="2"/>
  <c r="E48" i="2"/>
  <c r="D48" i="2"/>
  <c r="C48" i="2"/>
  <c r="B48" i="2"/>
  <c r="A48" i="2"/>
  <c r="F47" i="2"/>
  <c r="E47" i="2"/>
  <c r="D47" i="2"/>
  <c r="C47" i="2"/>
  <c r="B47" i="2"/>
  <c r="A47" i="2"/>
  <c r="F46" i="2"/>
  <c r="E46" i="2"/>
  <c r="D46" i="2"/>
  <c r="C46" i="2"/>
  <c r="B46" i="2"/>
  <c r="A46" i="2"/>
  <c r="F45" i="2"/>
  <c r="E45" i="2"/>
  <c r="D45" i="2"/>
  <c r="C45" i="2"/>
  <c r="B45" i="2"/>
  <c r="A45" i="2"/>
  <c r="F44" i="2"/>
  <c r="E44" i="2"/>
  <c r="D44" i="2"/>
  <c r="C44" i="2"/>
  <c r="B44" i="2"/>
  <c r="A44" i="2"/>
  <c r="F43" i="2"/>
  <c r="E43" i="2"/>
  <c r="D43" i="2"/>
  <c r="C43" i="2"/>
  <c r="B43" i="2"/>
  <c r="A43" i="2"/>
  <c r="F42" i="2"/>
  <c r="E42" i="2"/>
  <c r="D42" i="2"/>
  <c r="C42" i="2"/>
  <c r="B42" i="2"/>
  <c r="A42" i="2"/>
  <c r="F41" i="2"/>
  <c r="E41" i="2"/>
  <c r="D41" i="2"/>
  <c r="C41" i="2"/>
  <c r="B41" i="2"/>
  <c r="A41" i="2"/>
  <c r="F40" i="2"/>
  <c r="E40" i="2"/>
  <c r="D40" i="2"/>
  <c r="C40" i="2"/>
  <c r="B40" i="2"/>
  <c r="A40" i="2"/>
  <c r="F39" i="2"/>
  <c r="E39" i="2"/>
  <c r="D39" i="2"/>
  <c r="C39" i="2"/>
  <c r="B39" i="2"/>
  <c r="A39" i="2"/>
  <c r="F38" i="2"/>
  <c r="E38" i="2"/>
  <c r="D38" i="2"/>
  <c r="C38" i="2"/>
  <c r="B38" i="2"/>
  <c r="A38" i="2"/>
  <c r="F37" i="2"/>
  <c r="E37" i="2"/>
  <c r="D37" i="2"/>
  <c r="C37" i="2"/>
  <c r="B37" i="2"/>
  <c r="A37" i="2"/>
  <c r="F36" i="2"/>
  <c r="E36" i="2"/>
  <c r="D36" i="2"/>
  <c r="C36" i="2"/>
  <c r="B36" i="2"/>
  <c r="A36" i="2"/>
  <c r="F35" i="2"/>
  <c r="E35" i="2"/>
  <c r="D35" i="2"/>
  <c r="C35" i="2"/>
  <c r="B35" i="2"/>
  <c r="A35" i="2"/>
  <c r="F34" i="2"/>
  <c r="E34" i="2"/>
  <c r="D34" i="2"/>
  <c r="C34" i="2"/>
  <c r="B34" i="2"/>
  <c r="F33" i="2"/>
  <c r="E33" i="2"/>
  <c r="D33" i="2"/>
  <c r="C33" i="2"/>
  <c r="B33" i="2"/>
  <c r="F32" i="2"/>
  <c r="E32" i="2"/>
  <c r="D32" i="2"/>
  <c r="C32" i="2"/>
  <c r="B32" i="2"/>
  <c r="A32" i="2"/>
  <c r="F31" i="2"/>
  <c r="E31" i="2"/>
  <c r="D31" i="2"/>
  <c r="C31" i="2"/>
  <c r="B31" i="2"/>
  <c r="F30" i="2"/>
  <c r="E30" i="2"/>
  <c r="D30" i="2"/>
  <c r="C30" i="2"/>
  <c r="B30" i="2"/>
  <c r="F29" i="2"/>
  <c r="E29" i="2"/>
  <c r="D29" i="2"/>
  <c r="C29" i="2"/>
  <c r="B29" i="2"/>
  <c r="A29" i="2"/>
  <c r="F28" i="2"/>
  <c r="E28" i="2"/>
  <c r="D28" i="2"/>
  <c r="C28" i="2"/>
  <c r="B28" i="2"/>
  <c r="A28" i="2"/>
  <c r="F27" i="2"/>
  <c r="E27" i="2"/>
  <c r="D27" i="2"/>
  <c r="C27" i="2"/>
  <c r="B27" i="2"/>
  <c r="F26" i="2"/>
  <c r="E26" i="2"/>
  <c r="D26" i="2"/>
  <c r="C26" i="2"/>
  <c r="B26" i="2"/>
  <c r="A26" i="2"/>
  <c r="F25" i="2"/>
  <c r="E25" i="2"/>
  <c r="D25" i="2"/>
  <c r="C25" i="2"/>
  <c r="B25" i="2"/>
  <c r="F24" i="2"/>
  <c r="E24" i="2"/>
  <c r="D24" i="2"/>
  <c r="C24" i="2"/>
  <c r="B24" i="2"/>
  <c r="A24" i="2"/>
  <c r="F23" i="2"/>
  <c r="E23" i="2"/>
  <c r="D23" i="2"/>
  <c r="C23" i="2"/>
  <c r="B23" i="2"/>
  <c r="F22" i="2"/>
  <c r="E22" i="2"/>
  <c r="D22" i="2"/>
  <c r="C22" i="2"/>
  <c r="B22" i="2"/>
  <c r="F21" i="2"/>
  <c r="E21" i="2"/>
  <c r="D21" i="2"/>
  <c r="C21" i="2"/>
  <c r="B21" i="2"/>
  <c r="A21" i="2"/>
  <c r="F20" i="2"/>
  <c r="E20" i="2"/>
  <c r="D20" i="2"/>
  <c r="C20" i="2"/>
  <c r="B20" i="2"/>
  <c r="F19" i="2"/>
  <c r="E19" i="2"/>
  <c r="D19" i="2"/>
  <c r="C19" i="2"/>
  <c r="B19" i="2"/>
  <c r="A19" i="2"/>
  <c r="F18" i="2"/>
  <c r="E18" i="2"/>
  <c r="D18" i="2"/>
  <c r="C18" i="2"/>
  <c r="B18" i="2"/>
  <c r="F17" i="2"/>
  <c r="E17" i="2"/>
  <c r="D17" i="2"/>
  <c r="C17" i="2"/>
  <c r="B17" i="2"/>
  <c r="F16" i="2"/>
  <c r="E16" i="2"/>
  <c r="D16" i="2"/>
  <c r="C16" i="2"/>
  <c r="B16" i="2"/>
  <c r="A16" i="2"/>
  <c r="F15" i="2"/>
  <c r="E15" i="2"/>
  <c r="D15" i="2"/>
  <c r="C15" i="2"/>
  <c r="B15" i="2"/>
  <c r="F14" i="2"/>
  <c r="E14" i="2"/>
  <c r="D14" i="2"/>
  <c r="C14" i="2"/>
  <c r="B14" i="2"/>
  <c r="A14" i="2"/>
  <c r="F13" i="2"/>
  <c r="E13" i="2"/>
  <c r="D13" i="2"/>
  <c r="C13" i="2"/>
  <c r="B13" i="2"/>
  <c r="F12" i="2"/>
  <c r="E12" i="2"/>
  <c r="D12" i="2"/>
  <c r="C12" i="2"/>
  <c r="B12" i="2"/>
  <c r="F11" i="2"/>
  <c r="E11" i="2"/>
  <c r="D11" i="2"/>
  <c r="C11" i="2"/>
  <c r="B11" i="2"/>
  <c r="F10" i="2"/>
  <c r="E10" i="2"/>
  <c r="D10" i="2"/>
  <c r="C10" i="2"/>
  <c r="B10" i="2"/>
  <c r="F9" i="2"/>
  <c r="E9" i="2"/>
  <c r="D9" i="2"/>
  <c r="C9" i="2"/>
  <c r="B9" i="2"/>
  <c r="F8" i="2"/>
  <c r="E8" i="2"/>
  <c r="D8" i="2"/>
  <c r="C8" i="2"/>
  <c r="B8" i="2"/>
  <c r="A8" i="2"/>
  <c r="F7" i="2"/>
  <c r="E7" i="2"/>
  <c r="D7" i="2"/>
  <c r="C7" i="2"/>
  <c r="B7" i="2"/>
  <c r="F6" i="2"/>
  <c r="E6" i="2"/>
  <c r="D6" i="2"/>
  <c r="C6" i="2"/>
  <c r="B6" i="2"/>
  <c r="F5" i="2"/>
  <c r="E5" i="2"/>
  <c r="D5" i="2"/>
  <c r="C5" i="2"/>
  <c r="B5" i="2"/>
  <c r="F4" i="2"/>
  <c r="E4" i="2"/>
  <c r="D4" i="2"/>
  <c r="C4" i="2"/>
  <c r="B4" i="2"/>
  <c r="A4" i="2"/>
  <c r="F3" i="2"/>
  <c r="E3" i="2"/>
  <c r="D3" i="2"/>
  <c r="C3" i="2"/>
  <c r="B3" i="2"/>
  <c r="F2" i="2"/>
  <c r="E2" i="2"/>
  <c r="D2" i="2"/>
  <c r="C2" i="2"/>
  <c r="B2" i="2"/>
  <c r="T38" i="1"/>
  <c r="M38" i="1"/>
  <c r="K38" i="1"/>
  <c r="T37" i="1"/>
  <c r="M37" i="1"/>
  <c r="K37" i="1"/>
  <c r="T36" i="1"/>
  <c r="M36" i="1"/>
  <c r="K36" i="1"/>
  <c r="T35" i="1"/>
  <c r="M35" i="1"/>
  <c r="K35" i="1"/>
  <c r="T34" i="1"/>
  <c r="M34" i="1"/>
  <c r="K34" i="1"/>
  <c r="T33" i="1"/>
  <c r="M33" i="1"/>
  <c r="K33" i="1"/>
  <c r="T32" i="1"/>
  <c r="M32" i="1"/>
  <c r="K32" i="1"/>
  <c r="T31" i="1"/>
  <c r="M31" i="1"/>
  <c r="K31" i="1"/>
  <c r="T30" i="1"/>
  <c r="M30" i="1"/>
  <c r="K30" i="1"/>
  <c r="T29" i="1"/>
  <c r="M29" i="1"/>
  <c r="K29" i="1"/>
  <c r="T28" i="1"/>
  <c r="M28" i="1"/>
  <c r="K28" i="1"/>
  <c r="T27" i="1"/>
  <c r="M27" i="1"/>
  <c r="K27" i="1"/>
  <c r="T26" i="1"/>
  <c r="M26" i="1"/>
  <c r="K26" i="1"/>
  <c r="AT25" i="1"/>
  <c r="AQ25" i="1"/>
  <c r="AP25" i="1"/>
  <c r="AN25" i="1"/>
  <c r="AS25" i="1" s="1"/>
  <c r="AM25" i="1"/>
  <c r="AL25" i="1"/>
  <c r="AA25" i="1"/>
  <c r="A25" i="2" s="1"/>
  <c r="Z25" i="1"/>
  <c r="Y25" i="1"/>
  <c r="T25" i="1"/>
  <c r="M25" i="1"/>
  <c r="K25" i="1"/>
  <c r="AN24" i="1"/>
  <c r="AT24" i="1" s="1"/>
  <c r="AJ24" i="1"/>
  <c r="AH24" i="1"/>
  <c r="AG24" i="1"/>
  <c r="AA24" i="1"/>
  <c r="Z24" i="1"/>
  <c r="Y24" i="1"/>
  <c r="T24" i="1"/>
  <c r="M24" i="1"/>
  <c r="K24" i="1"/>
  <c r="AT23" i="1"/>
  <c r="AQ23" i="1"/>
  <c r="AN23" i="1"/>
  <c r="AS23" i="1" s="1"/>
  <c r="AM23" i="1"/>
  <c r="AH23" i="1"/>
  <c r="AA23" i="1"/>
  <c r="A23" i="2" s="1"/>
  <c r="Z23" i="1"/>
  <c r="Y23" i="1"/>
  <c r="T23" i="1"/>
  <c r="M23" i="1"/>
  <c r="K23" i="1"/>
  <c r="AN22" i="1"/>
  <c r="AO22" i="1" s="1"/>
  <c r="AK22" i="1"/>
  <c r="AH22" i="1"/>
  <c r="AG22" i="1"/>
  <c r="AA22" i="1"/>
  <c r="A22" i="2" s="1"/>
  <c r="Z22" i="1"/>
  <c r="Y22" i="1"/>
  <c r="T22" i="1"/>
  <c r="M22" i="1"/>
  <c r="K22" i="1"/>
  <c r="AT21" i="1"/>
  <c r="AS21" i="1"/>
  <c r="AR21" i="1"/>
  <c r="AQ21" i="1"/>
  <c r="AP21" i="1"/>
  <c r="AN21" i="1"/>
  <c r="AO21" i="1" s="1"/>
  <c r="AH21" i="1"/>
  <c r="AE21" i="1"/>
  <c r="AA21" i="1"/>
  <c r="Z21" i="1"/>
  <c r="Y21" i="1"/>
  <c r="T21" i="1"/>
  <c r="M21" i="1"/>
  <c r="K21" i="1"/>
  <c r="AN20" i="1"/>
  <c r="AT20" i="1" s="1"/>
  <c r="AM20" i="1"/>
  <c r="AL20" i="1"/>
  <c r="AK20" i="1"/>
  <c r="AA20" i="1"/>
  <c r="A20" i="2" s="1"/>
  <c r="Z20" i="1"/>
  <c r="Y20" i="1"/>
  <c r="T20" i="1"/>
  <c r="M20" i="1"/>
  <c r="K20" i="1"/>
  <c r="A20" i="1"/>
  <c r="AN19" i="1"/>
  <c r="AT19" i="1" s="1"/>
  <c r="AM19" i="1"/>
  <c r="AI19" i="1"/>
  <c r="AH19" i="1"/>
  <c r="AG19" i="1"/>
  <c r="AF19" i="1"/>
  <c r="AA19" i="1"/>
  <c r="Z19" i="1"/>
  <c r="Y19" i="1"/>
  <c r="T19" i="1"/>
  <c r="M19" i="1"/>
  <c r="K19" i="1"/>
  <c r="A19" i="1"/>
  <c r="AT18" i="1"/>
  <c r="AQ18" i="1"/>
  <c r="AN18" i="1"/>
  <c r="AS18" i="1" s="1"/>
  <c r="AM18" i="1"/>
  <c r="AH18" i="1"/>
  <c r="AA18" i="1"/>
  <c r="A18" i="2" s="1"/>
  <c r="Z18" i="1"/>
  <c r="Y18" i="1"/>
  <c r="T18" i="1"/>
  <c r="M18" i="1"/>
  <c r="K18" i="1"/>
  <c r="A18" i="1"/>
  <c r="AN17" i="1"/>
  <c r="AP17" i="1" s="1"/>
  <c r="AM17" i="1"/>
  <c r="AL17" i="1"/>
  <c r="AH17" i="1"/>
  <c r="AG17" i="1"/>
  <c r="AA17" i="1"/>
  <c r="A17" i="2" s="1"/>
  <c r="Z17" i="1"/>
  <c r="Y17" i="1"/>
  <c r="T17" i="1"/>
  <c r="M17" i="1"/>
  <c r="K17" i="1"/>
  <c r="A17" i="1"/>
  <c r="AT16" i="1"/>
  <c r="AS16" i="1"/>
  <c r="AR16" i="1"/>
  <c r="AN16" i="1"/>
  <c r="AQ16" i="1" s="1"/>
  <c r="AL16" i="1"/>
  <c r="AK16" i="1"/>
  <c r="AJ16" i="1"/>
  <c r="AI16" i="1"/>
  <c r="AH16" i="1"/>
  <c r="AG16" i="1"/>
  <c r="AA16" i="1"/>
  <c r="Z16" i="1"/>
  <c r="Y16" i="1"/>
  <c r="T16" i="1"/>
  <c r="M16" i="1"/>
  <c r="K16" i="1"/>
  <c r="A16" i="1"/>
  <c r="AN15" i="1"/>
  <c r="AP15" i="1" s="1"/>
  <c r="AM15" i="1"/>
  <c r="AG15" i="1"/>
  <c r="AA15" i="1"/>
  <c r="A15" i="2" s="1"/>
  <c r="Z15" i="1"/>
  <c r="Y15" i="1"/>
  <c r="T15" i="1"/>
  <c r="M15" i="1"/>
  <c r="K15" i="1"/>
  <c r="A15" i="1"/>
  <c r="AN14" i="1"/>
  <c r="AT14" i="1" s="1"/>
  <c r="AL14" i="1"/>
  <c r="AK14" i="1"/>
  <c r="AJ14" i="1"/>
  <c r="AI14" i="1"/>
  <c r="AH14" i="1"/>
  <c r="AA14" i="1"/>
  <c r="Z14" i="1"/>
  <c r="Y14" i="1"/>
  <c r="T14" i="1"/>
  <c r="M14" i="1"/>
  <c r="K14" i="1"/>
  <c r="A14" i="1"/>
  <c r="AT13" i="1"/>
  <c r="AP13" i="1"/>
  <c r="AN13" i="1"/>
  <c r="AS13" i="1" s="1"/>
  <c r="AM13" i="1"/>
  <c r="AL13" i="1"/>
  <c r="AK13" i="1"/>
  <c r="AH13" i="1"/>
  <c r="AG13" i="1"/>
  <c r="AF13" i="1"/>
  <c r="AE13" i="1"/>
  <c r="AA13" i="1"/>
  <c r="A13" i="2" s="1"/>
  <c r="Z13" i="1"/>
  <c r="Y13" i="1"/>
  <c r="T13" i="1"/>
  <c r="M13" i="1"/>
  <c r="K13" i="1"/>
  <c r="A13" i="1"/>
  <c r="AN12" i="1"/>
  <c r="AS12" i="1" s="1"/>
  <c r="AH12" i="1"/>
  <c r="AG12" i="1"/>
  <c r="AA12" i="1"/>
  <c r="A12" i="2" s="1"/>
  <c r="Z12" i="1"/>
  <c r="Y12" i="1"/>
  <c r="T12" i="1"/>
  <c r="H15" i="3" s="1"/>
  <c r="F15" i="3" s="1"/>
  <c r="M12" i="1"/>
  <c r="K12" i="1"/>
  <c r="A12" i="1"/>
  <c r="AN11" i="1"/>
  <c r="AT11" i="1" s="1"/>
  <c r="AM11" i="1"/>
  <c r="AL11" i="1"/>
  <c r="AJ11" i="1"/>
  <c r="AI11" i="1"/>
  <c r="AH11" i="1"/>
  <c r="AG11" i="1"/>
  <c r="AA11" i="1"/>
  <c r="A11" i="2" s="1"/>
  <c r="Z11" i="1"/>
  <c r="Y11" i="1"/>
  <c r="T11" i="1"/>
  <c r="M11" i="1"/>
  <c r="K11" i="1"/>
  <c r="A11" i="1"/>
  <c r="AT10" i="1"/>
  <c r="AS10" i="1"/>
  <c r="AR10" i="1"/>
  <c r="AQ10" i="1"/>
  <c r="AP10" i="1"/>
  <c r="AN10" i="1"/>
  <c r="AO10" i="1" s="1"/>
  <c r="AH10" i="1"/>
  <c r="AG10" i="1"/>
  <c r="AE10" i="1"/>
  <c r="AA10" i="1"/>
  <c r="A10" i="2" s="1"/>
  <c r="Z10" i="1"/>
  <c r="Y10" i="1"/>
  <c r="T10" i="1"/>
  <c r="M10" i="1"/>
  <c r="K10" i="1"/>
  <c r="A10" i="1"/>
  <c r="AN9" i="1"/>
  <c r="AS9" i="1" s="1"/>
  <c r="AM9" i="1"/>
  <c r="AL9" i="1"/>
  <c r="AA9" i="1"/>
  <c r="A9" i="2" s="1"/>
  <c r="Z9" i="1"/>
  <c r="Y9" i="1"/>
  <c r="T9" i="1"/>
  <c r="M9" i="1"/>
  <c r="K9" i="1"/>
  <c r="A9" i="1"/>
  <c r="AN8" i="1"/>
  <c r="AT8" i="1" s="1"/>
  <c r="AK8" i="1"/>
  <c r="AJ8" i="1"/>
  <c r="AI8" i="1"/>
  <c r="AH8" i="1"/>
  <c r="AG8" i="1"/>
  <c r="AA8" i="1"/>
  <c r="Z8" i="1"/>
  <c r="Y8" i="1"/>
  <c r="T8" i="1"/>
  <c r="M8" i="1"/>
  <c r="K8" i="1"/>
  <c r="A8" i="1"/>
  <c r="AT7" i="1"/>
  <c r="AR7" i="1"/>
  <c r="AQ7" i="1"/>
  <c r="AP7" i="1"/>
  <c r="AN7" i="1"/>
  <c r="AS7" i="1" s="1"/>
  <c r="AA7" i="1"/>
  <c r="A7" i="2" s="1"/>
  <c r="Z7" i="1"/>
  <c r="Y7" i="1"/>
  <c r="T7" i="1"/>
  <c r="M7" i="1"/>
  <c r="K7" i="1"/>
  <c r="A7" i="1"/>
  <c r="AR6" i="1"/>
  <c r="AQ6" i="1"/>
  <c r="AP6" i="1"/>
  <c r="AO6" i="1"/>
  <c r="AN6" i="1"/>
  <c r="AS6" i="1" s="1"/>
  <c r="AM6" i="1"/>
  <c r="AL6" i="1"/>
  <c r="AK6" i="1"/>
  <c r="AH6" i="1"/>
  <c r="AG6" i="1"/>
  <c r="AA6" i="1"/>
  <c r="A6" i="2" s="1"/>
  <c r="Z6" i="1"/>
  <c r="Y6" i="1"/>
  <c r="T6" i="1"/>
  <c r="M6" i="1"/>
  <c r="K6" i="1"/>
  <c r="A6" i="1"/>
  <c r="AN5" i="1"/>
  <c r="AS5" i="1" s="1"/>
  <c r="AM5" i="1"/>
  <c r="AL5" i="1"/>
  <c r="AK5" i="1"/>
  <c r="AJ5" i="1"/>
  <c r="AH5" i="1"/>
  <c r="AG5" i="1"/>
  <c r="AF5" i="1"/>
  <c r="AA5" i="1"/>
  <c r="A5" i="2" s="1"/>
  <c r="Z5" i="1"/>
  <c r="Y5" i="1"/>
  <c r="T5" i="1"/>
  <c r="M5" i="1"/>
  <c r="K5" i="1"/>
  <c r="A5" i="1"/>
  <c r="T4" i="1"/>
  <c r="M4" i="1"/>
  <c r="K4" i="1"/>
  <c r="A4" i="1"/>
  <c r="AT3" i="1"/>
  <c r="AS3" i="1"/>
  <c r="AN3" i="1"/>
  <c r="AR3" i="1" s="1"/>
  <c r="AL3" i="1"/>
  <c r="AK3" i="1"/>
  <c r="AJ3" i="1"/>
  <c r="AI3" i="1"/>
  <c r="AH3" i="1"/>
  <c r="AG3" i="1"/>
  <c r="AF3" i="1"/>
  <c r="AE3" i="1"/>
  <c r="AA3" i="1"/>
  <c r="A3" i="2" s="1"/>
  <c r="Z3" i="1"/>
  <c r="Y3" i="1"/>
  <c r="T3" i="1"/>
  <c r="M3" i="1"/>
  <c r="K3" i="1"/>
  <c r="A3" i="1"/>
  <c r="AN2" i="1"/>
  <c r="AP2" i="1" s="1"/>
  <c r="AM2" i="1"/>
  <c r="AH2" i="1"/>
  <c r="AG2" i="1"/>
  <c r="AA2" i="1"/>
  <c r="A2" i="2" s="1"/>
  <c r="Z2" i="1"/>
  <c r="Y2" i="1"/>
  <c r="T2" i="1"/>
  <c r="D6" i="3" s="1"/>
  <c r="M2" i="1"/>
  <c r="K2" i="1"/>
  <c r="A2" i="1"/>
  <c r="AM1" i="1"/>
  <c r="AM16" i="1" s="1"/>
  <c r="AL1" i="1"/>
  <c r="AL15" i="1" s="1"/>
  <c r="AK1" i="1"/>
  <c r="AK9" i="1" s="1"/>
  <c r="AJ1" i="1"/>
  <c r="AJ20" i="1" s="1"/>
  <c r="AI1" i="1"/>
  <c r="AI21" i="1" s="1"/>
  <c r="AH1" i="1"/>
  <c r="AH20" i="1" s="1"/>
  <c r="AG1" i="1"/>
  <c r="AG14" i="1" s="1"/>
  <c r="AF1" i="1"/>
  <c r="AF24" i="1" s="1"/>
  <c r="AE1" i="1"/>
  <c r="AE19" i="1" s="1"/>
  <c r="F16" i="3" l="1"/>
  <c r="F18" i="3"/>
  <c r="AI24" i="1"/>
  <c r="AO25" i="1"/>
  <c r="C13" i="3"/>
  <c r="E13" i="3" s="1"/>
  <c r="C17" i="3"/>
  <c r="E17" i="3" s="1"/>
  <c r="AM14" i="1"/>
  <c r="AR15" i="1"/>
  <c r="AE18" i="1"/>
  <c r="AJ19" i="1"/>
  <c r="AO20" i="1"/>
  <c r="AE23" i="1"/>
  <c r="AK24" i="1"/>
  <c r="AS2" i="1"/>
  <c r="AG7" i="1"/>
  <c r="E7" i="3" s="1"/>
  <c r="AL8" i="1"/>
  <c r="AQ9" i="1"/>
  <c r="AI13" i="1"/>
  <c r="AS15" i="1"/>
  <c r="AF18" i="1"/>
  <c r="AK19" i="1"/>
  <c r="AP20" i="1"/>
  <c r="AF23" i="1"/>
  <c r="AL24" i="1"/>
  <c r="AR25" i="1"/>
  <c r="AT2" i="1"/>
  <c r="AH7" i="1"/>
  <c r="AM8" i="1"/>
  <c r="AR9" i="1"/>
  <c r="AE12" i="1"/>
  <c r="AJ13" i="1"/>
  <c r="AO14" i="1"/>
  <c r="AT15" i="1"/>
  <c r="AG18" i="1"/>
  <c r="AL19" i="1"/>
  <c r="AQ20" i="1"/>
  <c r="AG23" i="1"/>
  <c r="AM24" i="1"/>
  <c r="C6" i="3"/>
  <c r="AS20" i="1"/>
  <c r="AI23" i="1"/>
  <c r="AO24" i="1"/>
  <c r="E6" i="3"/>
  <c r="AL7" i="1"/>
  <c r="AQ8" i="1"/>
  <c r="AS14" i="1"/>
  <c r="D14" i="3"/>
  <c r="F14" i="3" s="1"/>
  <c r="D18" i="3"/>
  <c r="H12" i="3"/>
  <c r="AO15" i="1"/>
  <c r="AQ2" i="1"/>
  <c r="AE7" i="1"/>
  <c r="AQ15" i="1"/>
  <c r="AR2" i="1"/>
  <c r="AF7" i="1"/>
  <c r="AP9" i="1"/>
  <c r="AI7" i="1"/>
  <c r="AP14" i="1"/>
  <c r="AR20" i="1"/>
  <c r="AE6" i="1"/>
  <c r="AO8" i="1"/>
  <c r="AT9" i="1"/>
  <c r="AQ14" i="1"/>
  <c r="AR14" i="1"/>
  <c r="AE17" i="1"/>
  <c r="AJ18" i="1"/>
  <c r="AO19" i="1"/>
  <c r="AJ23" i="1"/>
  <c r="AP24" i="1"/>
  <c r="F6" i="3"/>
  <c r="AI12" i="1"/>
  <c r="AF17" i="1"/>
  <c r="AK18" i="1"/>
  <c r="AP19" i="1"/>
  <c r="AE22" i="1"/>
  <c r="AK23" i="1"/>
  <c r="AQ24" i="1"/>
  <c r="AM7" i="1"/>
  <c r="AR8" i="1"/>
  <c r="AE11" i="1"/>
  <c r="AJ12" i="1"/>
  <c r="AO13" i="1"/>
  <c r="AL18" i="1"/>
  <c r="AQ19" i="1"/>
  <c r="AF22" i="1"/>
  <c r="AL23" i="1"/>
  <c r="AR24" i="1"/>
  <c r="AO2" i="1"/>
  <c r="AO9" i="1"/>
  <c r="AF12" i="1"/>
  <c r="AJ7" i="1"/>
  <c r="AI18" i="1"/>
  <c r="AF6" i="1"/>
  <c r="AK7" i="1"/>
  <c r="AP8" i="1"/>
  <c r="AI6" i="1"/>
  <c r="AS8" i="1"/>
  <c r="AF11" i="1"/>
  <c r="AK12" i="1"/>
  <c r="AR19" i="1"/>
  <c r="AS24" i="1"/>
  <c r="AE5" i="1"/>
  <c r="AJ6" i="1"/>
  <c r="AO7" i="1"/>
  <c r="AL12" i="1"/>
  <c r="AQ13" i="1"/>
  <c r="AI17" i="1"/>
  <c r="AS19" i="1"/>
  <c r="G14" i="3"/>
  <c r="E14" i="3" s="1"/>
  <c r="G18" i="3"/>
  <c r="E18" i="3" s="1"/>
  <c r="AM12" i="1"/>
  <c r="AR13" i="1"/>
  <c r="AE16" i="1"/>
  <c r="AJ17" i="1"/>
  <c r="AO18" i="1"/>
  <c r="AI22" i="1"/>
  <c r="AO23" i="1"/>
  <c r="AF16" i="1"/>
  <c r="AK17" i="1"/>
  <c r="AP18" i="1"/>
  <c r="AJ22" i="1"/>
  <c r="AP23" i="1"/>
  <c r="AI5" i="1"/>
  <c r="AF10" i="1"/>
  <c r="AK11" i="1"/>
  <c r="AP12" i="1"/>
  <c r="AR18" i="1"/>
  <c r="AF21" i="1"/>
  <c r="AL22" i="1"/>
  <c r="AR23" i="1"/>
  <c r="AG21" i="1"/>
  <c r="AM22" i="1"/>
  <c r="AM3" i="1"/>
  <c r="AO5" i="1"/>
  <c r="AT6" i="1"/>
  <c r="AG9" i="1"/>
  <c r="AL10" i="1"/>
  <c r="AQ11" i="1"/>
  <c r="AI15" i="1"/>
  <c r="AF20" i="1"/>
  <c r="AL21" i="1"/>
  <c r="AR22" i="1"/>
  <c r="AH25" i="1"/>
  <c r="C12" i="3"/>
  <c r="C16" i="3"/>
  <c r="E16" i="3" s="1"/>
  <c r="AO12" i="1"/>
  <c r="AR12" i="1"/>
  <c r="AE9" i="1"/>
  <c r="AJ10" i="1"/>
  <c r="AO11" i="1"/>
  <c r="AT12" i="1"/>
  <c r="AQ17" i="1"/>
  <c r="AJ21" i="1"/>
  <c r="AP22" i="1"/>
  <c r="AF25" i="1"/>
  <c r="AS17" i="1"/>
  <c r="AJ2" i="1"/>
  <c r="AO3" i="1"/>
  <c r="AP5" i="1"/>
  <c r="AH9" i="1"/>
  <c r="AM10" i="1"/>
  <c r="AR11" i="1"/>
  <c r="AE14" i="1"/>
  <c r="AJ15" i="1"/>
  <c r="AO16" i="1"/>
  <c r="AT17" i="1"/>
  <c r="AG20" i="1"/>
  <c r="AM21" i="1"/>
  <c r="AS22" i="1"/>
  <c r="AI25" i="1"/>
  <c r="AF9" i="1"/>
  <c r="AK10" i="1"/>
  <c r="AP11" i="1"/>
  <c r="AH15" i="1"/>
  <c r="C8" i="3" s="1"/>
  <c r="AR17" i="1"/>
  <c r="AE20" i="1"/>
  <c r="AK21" i="1"/>
  <c r="AQ22" i="1"/>
  <c r="AG25" i="1"/>
  <c r="AI2" i="1"/>
  <c r="AK2" i="1"/>
  <c r="AP3" i="1"/>
  <c r="C5" i="3" s="1"/>
  <c r="AQ5" i="1"/>
  <c r="AI9" i="1"/>
  <c r="AS11" i="1"/>
  <c r="AF14" i="1"/>
  <c r="AK15" i="1"/>
  <c r="AP16" i="1"/>
  <c r="AT22" i="1"/>
  <c r="AJ25" i="1"/>
  <c r="AL2" i="1"/>
  <c r="AQ3" i="1"/>
  <c r="AR5" i="1"/>
  <c r="AE8" i="1"/>
  <c r="AJ9" i="1"/>
  <c r="AI20" i="1"/>
  <c r="AE24" i="1"/>
  <c r="AK25" i="1"/>
  <c r="AT5" i="1"/>
  <c r="AQ12" i="1"/>
  <c r="AE2" i="1"/>
  <c r="AE15" i="1"/>
  <c r="AO17" i="1"/>
  <c r="AF2" i="1"/>
  <c r="AI10" i="1"/>
  <c r="AF15" i="1"/>
  <c r="AE25" i="1"/>
  <c r="AF8" i="1"/>
  <c r="E8" i="3" l="1"/>
  <c r="C7" i="3"/>
  <c r="C20" i="3"/>
  <c r="E4" i="3"/>
  <c r="D7" i="3"/>
  <c r="D8" i="3"/>
  <c r="D5" i="3"/>
  <c r="F5" i="3" s="1"/>
  <c r="E5" i="3"/>
  <c r="E12" i="3"/>
  <c r="E20" i="3" s="1"/>
  <c r="D4" i="3"/>
  <c r="D20" i="3"/>
  <c r="G20" i="3"/>
  <c r="C9" i="3"/>
  <c r="C4" i="3"/>
  <c r="E9" i="3"/>
  <c r="H20" i="3"/>
  <c r="F12" i="3"/>
  <c r="F20" i="3" s="1"/>
  <c r="D9" i="3"/>
  <c r="F4" i="3" l="1"/>
</calcChain>
</file>

<file path=xl/sharedStrings.xml><?xml version="1.0" encoding="utf-8"?>
<sst xmlns="http://schemas.openxmlformats.org/spreadsheetml/2006/main" count="725" uniqueCount="285">
  <si>
    <t>Projeto</t>
  </si>
  <si>
    <t>Data</t>
  </si>
  <si>
    <t>Request</t>
  </si>
  <si>
    <t>Task</t>
  </si>
  <si>
    <t>Prioridade</t>
  </si>
  <si>
    <t>Retorno</t>
  </si>
  <si>
    <t>Módulo</t>
  </si>
  <si>
    <t>Tipo</t>
  </si>
  <si>
    <t>Usuário Projeto</t>
  </si>
  <si>
    <t>PO</t>
  </si>
  <si>
    <t>UUID PO</t>
  </si>
  <si>
    <t>Recurso</t>
  </si>
  <si>
    <t>UUID Recurso</t>
  </si>
  <si>
    <t>Épico</t>
  </si>
  <si>
    <t>Estória</t>
  </si>
  <si>
    <t>Tarefa</t>
  </si>
  <si>
    <t>Etapa</t>
  </si>
  <si>
    <t>US</t>
  </si>
  <si>
    <t>Horas</t>
  </si>
  <si>
    <t>Pontos</t>
  </si>
  <si>
    <t>TicketE</t>
  </si>
  <si>
    <t>TicketS</t>
  </si>
  <si>
    <t>TicketT</t>
  </si>
  <si>
    <t>Jira</t>
  </si>
  <si>
    <t>Alocadas</t>
  </si>
  <si>
    <t>2026-09-08</t>
  </si>
  <si>
    <t>INTERFACE</t>
  </si>
  <si>
    <t>ALTERAÇÃO</t>
  </si>
  <si>
    <t>ensemble@thyssenkruppelevadores.com.br</t>
  </si>
  <si>
    <t>Giovani Perotto Mesquita</t>
  </si>
  <si>
    <t>Alexandre Trindade Pereira</t>
  </si>
  <si>
    <t>Confeccionar logs para auditoria</t>
  </si>
  <si>
    <t>Implementação</t>
  </si>
  <si>
    <t>ENS-10640</t>
  </si>
  <si>
    <t>ENS-10973</t>
  </si>
  <si>
    <t>ENS-10974</t>
  </si>
  <si>
    <t>X</t>
  </si>
  <si>
    <t>CR</t>
  </si>
  <si>
    <t>REQ0339905</t>
  </si>
  <si>
    <t>SCTASK0581534</t>
  </si>
  <si>
    <t>NOVO DESENVOLVIMENTO</t>
  </si>
  <si>
    <t>Tanise Sarmento</t>
  </si>
  <si>
    <t>PO - Menus Intec</t>
  </si>
  <si>
    <t>PO &amp; GP - Menus Intec</t>
  </si>
  <si>
    <t>ENS-10725</t>
  </si>
  <si>
    <t>ENS-10975</t>
  </si>
  <si>
    <t>ENS-10976</t>
  </si>
  <si>
    <t>MP</t>
  </si>
  <si>
    <t>PO - Sprint</t>
  </si>
  <si>
    <t>ENS-10977</t>
  </si>
  <si>
    <t>ENS-10978</t>
  </si>
  <si>
    <t>ENS-10979</t>
  </si>
  <si>
    <t>TKE China</t>
  </si>
  <si>
    <t>PO - TKE China</t>
  </si>
  <si>
    <t>ENS-10844</t>
  </si>
  <si>
    <t>ENS-10980</t>
  </si>
  <si>
    <t>ENS-10981</t>
  </si>
  <si>
    <t>Luis Henrique Petkovicz</t>
  </si>
  <si>
    <t>Atividades Administrativas</t>
  </si>
  <si>
    <t>ENS-8159</t>
  </si>
  <si>
    <t>ENS-10982</t>
  </si>
  <si>
    <t>ENS-10983</t>
  </si>
  <si>
    <t>BL</t>
  </si>
  <si>
    <t>REQ0377661</t>
  </si>
  <si>
    <t>SCTASK0579990</t>
  </si>
  <si>
    <t>Pablo Rocha</t>
  </si>
  <si>
    <t xml:space="preserve"> Integração de Margens entre GUS e E‑Sales</t>
  </si>
  <si>
    <t>Análise Técnica</t>
  </si>
  <si>
    <t>🌐 ÉPICO – Integração de Margens entre GUS e E‑Sales
🏷 Título do Épico
Integração das Margens com e sem Desconto entre GUS e E‑Sales para Suporte ao Processo Comercial
🧾 Descrição Geral
Este épico tem como objetivo estabelecer uma nova  integração padronizada, confiável e automatizada entre os sistemas GUS e E‑Sales, permitindo o trânsito de informações de margem com desconto e margem sem desconto.
A iniciativa busca eliminar atividades manuais, reduzir inconsistências, aumentar a velocidade das operações comerciais e aprimorar a tomada de decisão baseada em dados.
PO
Bruno Fuentes (Zallpy)
Tiago Fogaça (PO)
Victor Augusto Santos Marinho (Zallpy)
🎯 Objetivo Estratégico
Garantir que o processo comercial opere com informações atualizadas, consistentes e rastreáveis.
Apoiar decisões de precificação e propostas comerciais com dados íntegros.
Reduzir riscos operacionais e retrabalho decorrentes de processos manuais.
Aumentar eficiência e performance dos times comercial e financeiro.
📌 Escopo do Épico
Inclui:
Construção de interfaces de envio das margens com e sem desconto do GUS para o E‑Sales.
Padronização de layouts, validações e regras de negócio.
Implementação de logs, rastreabilidade, controle de erros e tratamento de rejeições.
Testes funcionais, integrados, regressivos e de migração.
Não inclui:
Alterações no cálculo das margens.
Modificações em regras de negócio internas do GUS ou do E‑Sales.
Criação de dashboards ou relatórios derivados.
🗂 User Stories Associadas
US – Enviar Margem com Desconto do GUS para o E‑Sales
US – Enviar Margem sem Desconto do GUS para o E‑Sales
(As histórias permanecem independentes para entrega incremental, mas agrupadas sob o mesmo objetivo macro.)
🧑‍💼 Stakeholders Envolvidos
Área Comercial
Área Financeira
Equipe de Produto (IRIS ESB)
Time responsável pelo GUS
Time responsável pelo E‑Sales
Time de Arquitetura e Governança de Integrações
QA / Homologação
🚀 Benefícios Esperados
Redução de erros manuais no processo de pricing.
Aumento da confiabilidade das informações de margem.
Otimização das operações comerciais (tempo de cotação).
Aumento da precisão nas projeções financeiras e análises de margem.
Melhor experiência para os usuários das áreas comercial e financeira.
🔄 Critérios de Aceitação do Épico
O épico será considerado concluído quando:
Ambas as interfaces (com e sem desconto) estiverem implementadas, testadas e homologadas.
Processos de envio, rejeição, reprocessamento e logs estiverem implementados.
Todos os ambientes (DEV, TQA e PRD) estiverem configurados e validados.
Toda documentação funcional e técnica tiver sido atualizada.
O time comercial confirmar que os dados estão disponíveis e íntegros no E‑Sales.
🧭 Cutover do Épico
Comunicação às áreas usuárias sobre os novos fluxos.
Treinamento rápido sobre leitura e impacto das margens no E‑Sales.
Execução de testes fim a fim antes do go‑live.
Reprocessamento inicial das margens para garantir baseline consistente.
Monitoramento reforçado nas primeiras 72 horas pós-implantação.
📈 GUT Score do Épico
Gravidade: 8
Urgência: 7
Tendência: 8
Total: 448 (Alta Prioridade Estratégica)</t>
  </si>
  <si>
    <t>ENS-8908</t>
  </si>
  <si>
    <t>ENS-10984</t>
  </si>
  <si>
    <t>ENS-10985</t>
  </si>
  <si>
    <t>Alterar logs do IRIS para tabela federada</t>
  </si>
  <si>
    <t>Alterar logs do IRIS para tabela federada 1</t>
  </si>
  <si>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</si>
  <si>
    <t>ENS-9944</t>
  </si>
  <si>
    <t>ENS-10986</t>
  </si>
  <si>
    <t>ENS-10987</t>
  </si>
  <si>
    <t>Regina Albanus</t>
  </si>
  <si>
    <t>Alterar logs do IRIS para tabela federada 2</t>
  </si>
  <si>
    <t>ENS-10988</t>
  </si>
  <si>
    <t>ENS-10989</t>
  </si>
  <si>
    <t>Alterar logs do IRIS para tabela federada 3</t>
  </si>
  <si>
    <t>ENS-10990</t>
  </si>
  <si>
    <t>ENS-10991</t>
  </si>
  <si>
    <t>CR AP Summary</t>
  </si>
  <si>
    <t>Alteração da interface Sincrona para Assincrona do AP Summary</t>
  </si>
  <si>
    <t>Execução de Testes</t>
  </si>
  <si>
    <t>Conforme CR do projeto AP Summary</t>
  </si>
  <si>
    <t>ENS-9951</t>
  </si>
  <si>
    <t>ENS-10992</t>
  </si>
  <si>
    <t>ENS-10993</t>
  </si>
  <si>
    <t>REQ0505088</t>
  </si>
  <si>
    <t>SCTASK0704281</t>
  </si>
  <si>
    <t>Luiz Felipe Brandão da Silva</t>
  </si>
  <si>
    <t>Alterar na interface PosicaoFinanceira.ContratosContatos para que tivermos erro interno do IRIS, mandar uma mensagem</t>
  </si>
  <si>
    <t>Alterar na interface PosicaoFinanceira.ContratosContatos para que tivermos erro interno do IRIS, mandar uma mensagem. PO - Marco Gross</t>
  </si>
  <si>
    <t>ENS-9954</t>
  </si>
  <si>
    <t>ENS-10994</t>
  </si>
  <si>
    <t>ENS-10995</t>
  </si>
  <si>
    <t>REQ0396346</t>
  </si>
  <si>
    <t>SCTASK0592786</t>
  </si>
  <si>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</si>
  <si>
    <t>🧾 Defined Requirement
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
🧑‍💼 Contact
João Mateus – Product Owner SAP
Stephanie - Product Owner GUS
Equipe SAP
Equipe IRIS
Equipe GUS
Gabriel Kramer – Stakeholder (reunião prévia)
Fernanda Gelatti – Stakeholder (reunião prévia)
📖 User Story Title
As a Analista de Negócio, I want que o SAP envie separadamente os valores de Preço de Manutenção e Preço Max, so that os contratos PRICING sejam ajustados corretamente no GUS e alinhem as linhas CMAX no SAP.
📊 Prioritization
Priority: High
Justificativa:
Business value: Permite cálculo correto de reajustes contratuais PRICING.
Impacto: Impede inconsistências financeiras e retrabalho manual.
Urgência: Situação atual bloqueia ajustes corretos no GUS.
Dependências: Integração direta entre SAP, IRIS e GUS.
🔍 Current Process (AS IS)
Atualmente, o SAP envia um único valor de reajuste, sem separação entre Preço de Manutenção e Preço Max. Esse modelo impossibilita:
Ajuste correto das tabelas no GUS
Alinhamento das linhas CMAX no SAP
🚀 Future Process (TO BE)
O SAP passa a disponibilizar um novo campo “Preço Max” na ZV75, enviando:
Preço de Manutenção
Preço Max
O IRIS atualiza o arquivo de integração e o GUS recebe os valores de forma segregada, aplicando corretamente os ajustes conforme a regra de negócio.
🎯 Change Objective
Garantir conformidade contratual e correto tratamento financeiro dos contratos PRICING, eliminando inconsistências e dependência de ajustes manuais.
❌ Out of Scope
Alterações em tipos contratuais que não sejam PRICING
Revisão de regras de cálculo no GUS além do consumo do novo campo
Mudanças retroativas em contratos já encerrados
✅ Acceptance Criteria (BDD)
Scenario 1 – Envio correto dos valores segregados
Given que existe um contrato do tipo PRICING no SAP
When o reajuste contratual for processado
Then o SAP deve enviar separadamente os campos “Preço de Manutenção” e “Preço Max” para o IRIS
And o GUS deve receber ambos os valores de forma estruturada
Scenario 2 – Campo obrigatório
Given um contrato PRICING
When o campo “Preço Max” não estiver preenchido
Then o contrato não deve ser enviado para integração
🧪 Validation Test Scenarios
Cenário 1 – Fluxo completo SAP → IRIS → GUS
Precondições:
Contrato PRICING ativo no SAP
Passos:
Informar Preço de Manutenção
Informar Preço Max na ZV75
Executar integração
Resultado Esperado:
Ambos os valores recebidos corretamente no GUS
❌ Rejection Test Scenarios
Cenário – Envio de valor único
Situação: SAP envia apenas um valor consolidado
Resultado Esperado:
Integração rejeitada ou sinalizada como incorreta
GUS não aplica ajuste
🔄 Regression Test Scenarios
Cenário – Contratos não PRICING
Verificação:
Contratos de outros tipos continuam funcionando sem impacto
Resultado Esperado:
Nenhuma alteração nos fluxos existentes
🧭 Cutover Suggestion
Comunicação aos times SAP, IRIS e GUS sobre o novo campo
Atualização do layout de integração
Testes integrados em ambiente controlado
Liberação coordenada em produção
📈 Score (GUT)
CritérioNotaGravity (Gravidade)5Urgency (Urgência)4Trend (Tendência)4GUT Total80</t>
  </si>
  <si>
    <t>ENS-9957</t>
  </si>
  <si>
    <t>ENS-10996</t>
  </si>
  <si>
    <t>ENS-10997</t>
  </si>
  <si>
    <t>REQ0522963</t>
  </si>
  <si>
    <t>SCTASK0727583</t>
  </si>
  <si>
    <t>Criar alerta quando mensagem da Adobe chegar no webhook</t>
  </si>
  <si>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</si>
  <si>
    <t>ENS-10442</t>
  </si>
  <si>
    <t>ENS-10998</t>
  </si>
  <si>
    <t>ENS-10999</t>
  </si>
  <si>
    <t>REQ0522901</t>
  </si>
  <si>
    <t>SCTASK0727520</t>
  </si>
  <si>
    <t>Implementar API Soluti timestamp</t>
  </si>
  <si>
    <t>ENS-10362</t>
  </si>
  <si>
    <t>ENS-11000</t>
  </si>
  <si>
    <t>ENS-11001</t>
  </si>
  <si>
    <t>REQ0482512</t>
  </si>
  <si>
    <t>SCTASK0708892</t>
  </si>
  <si>
    <t>Enviar CPF via jspv</t>
  </si>
  <si>
    <t>Demanda da Stephanie, segunda a mesma seria só incluir este campo</t>
  </si>
  <si>
    <t>ENS-10576</t>
  </si>
  <si>
    <t>ENS-11002</t>
  </si>
  <si>
    <t>ENS-11003</t>
  </si>
  <si>
    <t>REQ0526341</t>
  </si>
  <si>
    <t>SCTASK0744373</t>
  </si>
  <si>
    <t>Criar um fluxo de dados para capturar as informações de DOT.CALCULO provenientes do Dossiê Técnico</t>
  </si>
  <si>
    <t>🧾 Definição da Necessidade
Criar um fluxo de dados para capturar as informações de DOT.CALCULO provenientes do Dossiê Técnico, persistindo os dados transitados no IRIS por meio de uma tabela federada, viabilizando a disponibilidade e rastreabilidade das informações para consumo futuro.
 Fonte: SCTASK0744373
🧑‍💼 Contato
PO: Robson Portella
📖 Título da User Story
Como responsável pelo consumo de informações do Dossiê Técnico, quero que os dados de DOT.CALCULO sejam persistidos em uma tabela federada no IRIS, para que as informações transitadas possam ser armazenadas e disponibilizadas de forma estruturada para utilização posterior.
📊 Priorização
Prioridade: Alta
Justificativa:
Valor de negócio: Permite a disponibilização estruturada dos dados do Dossiê Técnico.
Impacto: Cria a base necessária para consultas e integrações futuras.
Urgência: Existe uma solicitação explícita para implementação do fluxo de persistência.
Dependências: A persistência em tabela federada é pré-requisito para qualquer consumo analítico ou operacional destes dados.
🔍 Processo Atual (AS IS)
Os dados de DOT.CALCULO transitam pelo processo do Dossiê Técnico, porém não existe uma persistência das informações em uma tabela federada dentro do IRIS.
🚀 Processo Futuro (TO BE)
Os dados de DOT.CALCULO serão capturados durante sua transitação no processo do Dossiê Técnico e persistidos automaticamente em uma tabela federada no IRIS, permitindo sua consulta e utilização por consumidores autorizados.
🎯 Objetivo da Mudança
Implementar um mecanismo de persistência dos dados DOT.CALCULO em uma tabela federada no IRIS, garantindo armazenamento estruturado das informações transitadas e disponibilidade para usos futuros.
❌ Fora de Escopo
Criação de dashboards ou relatórios.
Desenvolvimento de consultas analíticas.
Alterações na origem dos dados do Dossiê Técnico.
Mudanças em sistemas consumidores.
Processamento ou transformação de dados não relacionados ao objeto DOT.CALCULO.
✅ Critérios de Aceite (BDD)
Cenário 1: Persistir dados recebidos
Dado que existam informações de DOT.CALCULO transitando pelo processo do Dossiê Técnico
 Quando o fluxo de captura for executado
 Então os dados deverão ser persistidos em uma tabela federada no IRIS.
Cenário 2: Disponibilizar dados persistidos
Dado que registros tenham sido persistidos na tabela federada
 Quando a tabela for consultada
 Então os registros armazenados deverão estar disponíveis para consulta.
Cenário 3: Integridade da persistência
Dado que informações de DOT.CALCULO sejam processadas
 Quando a gravação ocorrer na tabela federada
 Então os dados persistidos deverão corresponder aos dados recebidos pelo fluxo.
🧪 Cenários de Teste de Validação
Cenário 1: Persistência de registro válido
Pré-condições
Fluxo implantado.
Existência de dados de DOT.CALCULO para processamento.
Passos
Enviar um registro contendo informações de DOT.CALCULO.
Aguardar o processamento do fluxo.
Consultar a tabela federada.
Resultado Esperado
O registro é encontrado na tabela federada do IRIS.
Cenário 2: Persistência de múltiplos registros
Pré-condições
Fluxo operacional.
Passos
Processar múltiplos registros DOT.CALCULO.
Consultar a tabela federada.
Resultado Esperado
Todos os registros processados encontram-se armazenados.
Cenário 3: Disponibilidade para consulta
Pré-condições
Existência de registros persistidos.
Passos
Realizar consulta na tabela federada.
Verificar retorno dos registros.
Resultado Esperado
Os dados persistidos são retornados corretamente.
❌ Cenários de Teste de Rejeição
Cenário 1: Falha na persistência
Pré-condições
Fluxo executando.
Passos
Processar um registro DOT.CALCULO.
Consultar a tabela federada.
Resultado Esperado
O teste falha caso o registro não seja encontrado na tabela.
Cenário 2: Divergência de informações
Pré-condições
Registro processado.
Passos
Comparar os dados recebidos com os dados gravados.
Validar integridade das informações.
Resultado Esperado
O teste falha caso existam divergências entre origem e persistência.
🔄 Cenários de Teste de Regressão
Cenário 1: Continuidade do fluxo atual
Pré-condições
Processo existente em funcionamento.
Passos
Executar o processamento normal do Dossiê Técnico.
Monitorar comportamento da integração.
Resultado Esperado
O fluxo original permanece operacional sem impactos.
Cenário 2: Persistência sem interferência
Pré-condições
Fluxo implantado.
Passos
Processar registros normalmente.
Validar a persistência.
Validar a continuidade do processamento.
Resultado Esperado
A gravação na tabela federada não afeta o fluxo de origem.
🧭 Sugestão de Cutover
Comunicação
Informar equipes consumidoras sobre a disponibilização da nova estrutura de persistência.
Implantação
Publicar o fluxo de captura e persistência em ambiente produtivo.
Testes em Produção
Executar processamento controlado de registros DOT.CALCULO.
Validar a gravação na tabela federada.
Monitoramento Inicial
Acompanhar o volume de registros persistidos.
Verificar possíveis falhas de gravação após a entrada em produção.
📈 Score (GUT)
Critério	NotaGravidade	4
Urgência	4
Tendência	4
GUT = 64
Justificativa
A persistência dos dados é necessária para garantir disponibilidade e rastreabilidade das informações do Dossiê Técnico. A ausência dessa estrutura pode limitar futuras consultas e integrações, justificando uma classificação elevada, embora não crítica.</t>
  </si>
  <si>
    <t>ENS-10673</t>
  </si>
  <si>
    <t>ENS-11004</t>
  </si>
  <si>
    <t>ENS-11005</t>
  </si>
  <si>
    <t>Criar dashboard de negócios do IRIS</t>
  </si>
  <si>
    <t>Ver DoR</t>
  </si>
  <si>
    <t>ENS-10676</t>
  </si>
  <si>
    <t>ENS-11006</t>
  </si>
  <si>
    <t>ENS-11007</t>
  </si>
  <si>
    <t>REQ0525598</t>
  </si>
  <si>
    <t>SCTASK0730907</t>
  </si>
  <si>
    <t>Criar e parametrizar IOT Dynamox</t>
  </si>
  <si>
    <t>ENS-10380</t>
  </si>
  <si>
    <t>ENS-11008</t>
  </si>
  <si>
    <t>ENS-11009</t>
  </si>
  <si>
    <t>REQ0305661</t>
  </si>
  <si>
    <t>SCTASK0489536</t>
  </si>
  <si>
    <t>Implementar a correção da informação apresentada na coluna Centro de Distribuição no relatório Mapa de Fabricação/Expedição do AIT</t>
  </si>
  <si>
    <t>🧾 Requisito Definido
Implementar a correção da informação apresentada na coluna Centro de Distribuição no relatório Mapa de Fabricação/Expedição do AIT, conforme necessidade identificada após alteração de lógica realizada no GUS, garantindo consistência das informações apresentadas aos usuários.
🧑‍💼 Contato
Izabel Zanotelli Haas
Rafael Villar Dornelles
Rayanne Rosa dos Santos
Tiago Fogaça
📖 Título da User Story
Como usuário do relatório Mapa de Fabricação/Expedição, quero visualizar corretamente a informação da coluna Centro de Distribuição, para que os dados operacionais reflitam a lógica atual do negócio e possam ser utilizados com segurança na tomada de decisão.
📊 Priorização
Prioridade: Alta
Justificativa
Impacta a confiabilidade dos dados apresentados aos usuários.
Existe histórico de incidentes relacionados à divergência da informação.
A correção depende de alinhamento entre sistemas integrados (GUS e AIT).
Afeta a consistência das informações utilizadas nos processos operacionais.
🔍 Processo Atual (AS IS)
Foi identificada divergência na coluna "Centro de Distribuição".
A lógica de negócio foi alterada no GUS sem comunicação prévia ao AIT.
Um incidente foi aberto para tratar a divergência, porém foi cancelado por se tratar de uma alteração de negócio.
Existe uma alteração anterior relacionada à inclusão de novas colunas que foi desenvolvida em QA, porém nunca validada e será descartada.
🚀 Processo Futuro (TO BE)
O relatório Mapa de Fabricação/Expedição deverá apresentar corretamente a informação da coluna Centro de Distribuição.
A regra implementada deverá refletir a lógica atual utilizada pelo GUS.
A solução será tratada por meio de solicitação formal de alteração no fluxo do AIT.
Alterações não validadas anteriormente serão descartadas para evitar inconsistências no ambiente.
🎯 Objetivo da Mudança
Garantir a consistência das informações do relatório Mapa de Fabricação/Expedição, eliminando divergências entre os sistemas envolvidos e aumentando a confiabilidade dos dados utilizados pelas áreas de negócio.
❌ Fora de Escopo
Inclusão das duas novas colunas desenvolvidas anteriormente para o incidente 779404.
Novos desenvolvimentos não relacionados à correção da coluna Centro de Distribuição.
Alterações em processos não citados no documento.
Evoluções funcionais em SAP, GUS ou IRIS além das explicitamente mencionadas.
✅ Critérios de Aceite (BDD)
Cenário 1: Exibição correta da coluna Centro de Distribuição
Dado que o usuário acessa o relatório Mapa de Fabricação/Expedição
Quando consultar registros que possuam informação de Centro de Distribuição
Então o valor exibido deverá refletir a regra de negócio vigente
Cenário 2: Consistência dos dados
Dado que existe integração de informações entre sistemas
Quando os dados forem apresentados no relatório
Então a informação de Centro de Distribuição deverá estar consistente com a origem definida pela regra de negócio
Cenário 3: Descarte das alterações não aprovadas
Dado que existem alterações desenvolvidas em QA referentes ao incidente 779404
Quando a entrega for promovida
Então as alterações não validadas deverão permanecer descartadas
🧪 Cenários de Teste de Validação
Cenário 1
Pré-condições
Ambiente disponível para testes.
Registros com Centro de Distribuição cadastrados.
Passos
Acessar o relatório.
Realizar consulta de registros.
Validar a informação apresentada.
Resultado Esperado
Valor exibido corretamente conforme a regra de negócio vigente.
Cenário 2
Pré-condições
Dados disponíveis no sistema de origem.
Passos
Comparar informação da origem com o relatório.
Validar registros amostrais.
Resultado Esperado
Não existir divergência entre origem e relatório.
Cenário 3
Pré-condições
Ambiente QA contendo histórico das alterações descartadas.
Passos
Validar estrutura do relatório.
Verificar se as colunas descartadas não foram promovidas.
Resultado Esperado
As colunas descartadas permanecem ausentes da solução final.
❌ Cenários de Teste de Rejeição
Cenário 1
Quando a coluna Centro de Distribuição apresentar valor divergente da regra definida
Então a implementação deverá ser rejeitada.
Cenário 2
Quando as colunas descartadas do incidente 779404 forem disponibilizadas novamente
Então a implementação deverá ser rejeitada.
Cenário 3
Quando a correção impactar negativamente a visualização de outros dados do relatório
Então a implementação deverá ser rejeitada.
🔄 Cenários de Teste de Regressão
Cenário 1
Validar a execução normal do relatório Mapa de Fabricação/Expedição.
Cenário 2
Validar exportação para Excel sem perda de informações.
Cenário 3
Validar filtros existentes do relatório.
Cenário 4
Validar carregamento e consulta dos demais campos do relatório.
Cenário 5
Validar que não houve impacto em integrações já existentes entre os sistemas envolvidos.
🧭 Sugestão de Cutover
Comunicação
Informar usuários sobre a correção realizada no relatório.
Governança
Registrar a alteração por meio do fluxo formal de solicitação.
Validação
Executar testes integrados e validação com usuários-chave.
Produção
Publicar a correção após aprovação dos testes.
Pós-implantação
Monitorar consultas realizadas no relatório e registrar eventuais divergências identificadas.
📈 Score (GUT)
Critério	NotaGravidade	4
Urgência	4
Tendência	4
Resultado GUT
64 (4 × 4 × 4)
Classificação
Alta Prioridade
Justificativa: a divergência afeta a confiabilidade das informações de negócio, já gerou incidentes anteriormente e tende a continuar gerando retrabalho e inconsistências caso não seja corrigida.</t>
  </si>
  <si>
    <t>ENS-10762</t>
  </si>
  <si>
    <t>ENS-11010</t>
  </si>
  <si>
    <t>ENS-11011</t>
  </si>
  <si>
    <t>ENS</t>
  </si>
  <si>
    <t>VS Code</t>
  </si>
  <si>
    <t>VS Code 1</t>
  </si>
  <si>
    <t>Analisar de depreciação de interfaces</t>
  </si>
  <si>
    <t>ENS-10877</t>
  </si>
  <si>
    <t>ENS-11012</t>
  </si>
  <si>
    <t>ENS-11013</t>
  </si>
  <si>
    <t>VS Code 2</t>
  </si>
  <si>
    <t>ENS-11014</t>
  </si>
  <si>
    <t>VS Code 3</t>
  </si>
  <si>
    <t>ENS-11015</t>
  </si>
  <si>
    <t>VS Code 4</t>
  </si>
  <si>
    <t>ENS-11016</t>
  </si>
  <si>
    <t>ENS-10767</t>
  </si>
  <si>
    <t>ENS-11017</t>
  </si>
  <si>
    <t>ENS-11018</t>
  </si>
  <si>
    <t>REQ0023707</t>
  </si>
  <si>
    <t>SCTASK0027251</t>
  </si>
  <si>
    <t>Disponibilizar acesso ao fluxo ZP048</t>
  </si>
  <si>
    <t>🧾 Requisito Definido
Disponibilizar acesso ao fluxo ZP048, em substituição ao registro RITM0618019 do antigo ServiceNow, garantindo que o solicitante possua o acesso necessário ao processo informado.
🧑‍💼 Contato
PO Robson Portella
📖 Título da User Story
Como usuário que necessita operar o fluxo ZP048, quero receber acesso ao fluxo solicitado, para que eu possa executar minhas atividades relacionadas ao processo sem depender do chamado antigo do ServiceNow.
📊 Priorização
Prioridade: Alta
Justificativa
Valor de Negócio: Permite a continuidade das atividades relacionadas ao fluxo ZP048.
Impacto: Impede bloqueios operacionais decorrentes da ausência de acesso.
Urgência: Existe uma demanda explícita para substituição de um registro anterior.
Dependências: Necessita apenas das validações e aprovações de acesso aplicáveis ao fluxo.
🔍 Processo Atual (AS IS)
Atualmente existe uma solicitação de acesso vinculada ao registro RITM0618019 do antigo ServiceNow. O usuário necessita do acesso ao fluxo ZP048, porém o atendimento precisa ser realizado através de um novo processo ou registro que substitua o chamado anterior.
🚀 Processo Futuro (TO BE)
O acesso ao fluxo ZP048 será concedido através do processo atual de gestão de acessos, substituindo a referência ao chamado antigo. O usuário passará a utilizar o fluxo normalmente após a conclusão das aprovações e provisionamento do acesso.
🎯 Objetivo da Mudança
Garantir que o usuário possua acesso ao fluxo ZP048 por meio do processo vigente, eliminando dependências do registro legado e permitindo a continuidade das atividades operacionais.
Benefícios Esperados
Continuidade operacional.
Redução de dependências de registros legados.
Padronização do processo de gestão de acessos.
Rastreabilidade da solicitação atual.
❌ Fora do Escopo
Alterações funcionais no fluxo ZP048.
Desenvolvimento de novas funcionalidades.
Revisão de regras de negócio do fluxo.
Migração de dados do chamado antigo.
Alterações em outros fluxos ou perfis de acesso não relacionados ao ZP048.
✅ Critérios de Aceitação (BDD)
Cenário 1: Concessão de acesso
Dado que existe uma solicitação válida de acesso ao fluxo ZP048
 Quando as validações e aprovações necessárias forem concluídas
 Então o acesso ao fluxo ZP048 deve ser disponibilizado ao solicitante.
Cenário 2: Substituição do chamado anterior
Dado que o acesso estava relacionado ao registro RITM0618019
 Quando a nova solicitação for processada
 Então ela deve ser tratada como substituição do registro legado informado.
Cenário 3: Confirmação de acesso
Dado que o acesso foi provisionado
 Quando o usuário acessar o ambiente correspondente
 Então deverá conseguir utilizar o fluxo ZP048 conforme sua autorização.
🧪 Cenários de Teste de Validação
Cenário 1: Provisionamento realizado com sucesso
Pré-condições
Solicitação aprovada.
Usuário identificado.
Passos
Localizar a solicitação de acesso.
Executar o provisionamento.
Solicitar validação do usuário.
Resultado Esperado
Usuário acessa o fluxo ZP048 sem erros.
Cenário 2: Validação funcional
Pré-condições
Acesso provisionado.
Passos
Realizar login no ambiente.
Acessar o fluxo ZP048.
Executar uma navegação básica no fluxo.
Resultado Esperado
O fluxo pode ser acessado normalmente.
❌ Cenários de Teste de Rejeição
Cenário 1: Aprovação inexistente
Pré-condições
Solicitação sem aprovação.
Passos
Tentar executar o provisionamento.
Resultado Esperado
O acesso não é concedido.
Cenário 2: Usuário não autorizado
Pré-condições
Usuário sem autorização formal.
Passos
Solicitar acesso ao fluxo.
Resultado Esperado
Solicitação bloqueada conforme regras de governança.
Cenário 3: Falha de provisionamento
Pré-condições
Erro durante a criação do acesso.
Passos
Executar o provisionamento.
Tentar acessar o fluxo.
Resultado Esperado
Acesso indisponível e erro registrado para tratamento.
🔄 Cenários de Teste de Regressão
Cenário 1: Integridade dos acessos existentes
Objetivo Garantir que a concessão do novo acesso não altere permissões já existentes.
Resultado Esperado
Os demais acessos do usuário permanecem inalterados.
Cenário 2: Funcionamento do fluxo
Objetivo Garantir que a inclusão de novo usuário não impacte a operação do fluxo.
Resultado Esperado
O fluxo ZP048 permanece operando normalmente para todos os usuários.
Cenário 3: Rastreabilidade da solicitação
Objetivo Garantir que exista vínculo entre a nova solicitação e a substituição do registro anterior.
Resultado Esperado
Histórico de atendimento disponível para auditoria.
🧭 Sugestão de Cutover
Comunicação
Informar o solicitante sobre a substituição do registro legado.
Comunicar a conclusão do provisionamento.
Treinamento
Não identificado como necessário no documento fornecido.
Migração de Dados
Não aplicável.
Testes em Produção
Validar acesso ao fluxo ZP048 após o provisionamento.
Confirmar utilização pelo usuário solicitante.
Outras Atividades
Registrar a referência de substituição do RITM0618019 para fins de rastreabilidade.
📈 Score (GUT)
Critério	NotaGravidade	4
Urgência	4
Tendência	3
Cálculo GUT
4 × 4 × 3 = 48
Classificação
Média-Alta Prioridade
A solicitação possui impacto operacional direto devido à necessidade de acesso ao fluxo ZP048 e deve ser tratada dentro do sprint corrente para evitar restrições de uso do processo.</t>
  </si>
  <si>
    <t>ENS-11019</t>
  </si>
  <si>
    <t>ENS-11020</t>
  </si>
  <si>
    <t>ENS-11021</t>
  </si>
  <si>
    <t>Epico 1</t>
  </si>
  <si>
    <t>Aitivade 1</t>
  </si>
  <si>
    <t>Tarefa 1</t>
  </si>
  <si>
    <t>ENS-11022</t>
  </si>
  <si>
    <t>ENS-11023</t>
  </si>
  <si>
    <t>ENS-11024</t>
  </si>
  <si>
    <t>Epico 2</t>
  </si>
  <si>
    <t>Aitivade 2</t>
  </si>
  <si>
    <t>Tarefa 2</t>
  </si>
  <si>
    <t>ENS-11025</t>
  </si>
  <si>
    <t>ENS-11026</t>
  </si>
  <si>
    <t>ENS-11027</t>
  </si>
  <si>
    <t>Epico 3</t>
  </si>
  <si>
    <t>Aitivade 3</t>
  </si>
  <si>
    <t>Tarefa 3</t>
  </si>
  <si>
    <t>ENS-11028</t>
  </si>
  <si>
    <t>ENS-11029</t>
  </si>
  <si>
    <t>ENS-11030</t>
  </si>
  <si>
    <t>Epico 4</t>
  </si>
  <si>
    <t>Aitivade 4</t>
  </si>
  <si>
    <t>Tarefa 4</t>
  </si>
  <si>
    <t>ENS-11031</t>
  </si>
  <si>
    <t>ENS-11032</t>
  </si>
  <si>
    <t>ENS-11033</t>
  </si>
  <si>
    <t>Epico 5</t>
  </si>
  <si>
    <t>Aitivade 5</t>
  </si>
  <si>
    <t>Tarefa 5</t>
  </si>
  <si>
    <t>ENS-11034</t>
  </si>
  <si>
    <t>ENS-11035</t>
  </si>
  <si>
    <t>ENS-11036</t>
  </si>
  <si>
    <t>Epico 6</t>
  </si>
  <si>
    <t>Aitivade 6</t>
  </si>
  <si>
    <t>Tarefa 6</t>
  </si>
  <si>
    <t>ENS-11037</t>
  </si>
  <si>
    <t>ENS-11038</t>
  </si>
  <si>
    <t>ENS-11039</t>
  </si>
  <si>
    <t>Epico 7</t>
  </si>
  <si>
    <t>Aitivade 7</t>
  </si>
  <si>
    <t>Tarefa 7</t>
  </si>
  <si>
    <t>ENS-11040</t>
  </si>
  <si>
    <t>ENS-11041</t>
  </si>
  <si>
    <t>ENS-11042</t>
  </si>
  <si>
    <t>Epico 8</t>
  </si>
  <si>
    <t>Aitivade 8</t>
  </si>
  <si>
    <t>Tarefa 8</t>
  </si>
  <si>
    <t>ENS-11043</t>
  </si>
  <si>
    <t>ENS-11044</t>
  </si>
  <si>
    <t>ENS-11045</t>
  </si>
  <si>
    <t>Epico 9</t>
  </si>
  <si>
    <t>Aitivade 9</t>
  </si>
  <si>
    <t>Tarefa 9</t>
  </si>
  <si>
    <t>ENS-11046</t>
  </si>
  <si>
    <t>ENS-11047</t>
  </si>
  <si>
    <t>ENS-11048</t>
  </si>
  <si>
    <t>Epico 10</t>
  </si>
  <si>
    <t>Aitivade 10</t>
  </si>
  <si>
    <t>Tarefa 10</t>
  </si>
  <si>
    <t>ENS-11049</t>
  </si>
  <si>
    <t>ENS-11050</t>
  </si>
  <si>
    <t>ENS-11051</t>
  </si>
  <si>
    <t>Epico 11</t>
  </si>
  <si>
    <t>Aitivade 11</t>
  </si>
  <si>
    <t>Tarefa 11</t>
  </si>
  <si>
    <t>ENS-11052</t>
  </si>
  <si>
    <t>ENS-11053</t>
  </si>
  <si>
    <t>ENS-11054</t>
  </si>
  <si>
    <t>Epico 12</t>
  </si>
  <si>
    <t>Aitivade 12</t>
  </si>
  <si>
    <t>Tarefa 12</t>
  </si>
  <si>
    <t>ENS-11055</t>
  </si>
  <si>
    <t>ENS-11056</t>
  </si>
  <si>
    <t>ENS-11057</t>
  </si>
  <si>
    <t>Tasks</t>
  </si>
  <si>
    <t>Descrição</t>
  </si>
  <si>
    <t>Total</t>
  </si>
  <si>
    <t>CAPEX</t>
  </si>
  <si>
    <t>OPEX</t>
  </si>
  <si>
    <t>Epicos</t>
  </si>
  <si>
    <t>Stories</t>
  </si>
  <si>
    <t>Firmadas</t>
  </si>
  <si>
    <t>Livres</t>
  </si>
  <si>
    <t>Tipos Jira</t>
  </si>
  <si>
    <t>Etapa Jira</t>
  </si>
  <si>
    <t>Pessoas</t>
  </si>
  <si>
    <t>Role</t>
  </si>
  <si>
    <t>UUID Jira</t>
  </si>
  <si>
    <t>Tipos</t>
  </si>
  <si>
    <t>Análise Funcional</t>
  </si>
  <si>
    <t>AMS</t>
  </si>
  <si>
    <t>712020:4a0c9d58-dbcd-4acf-b9ef-a74bff31dc8e</t>
  </si>
  <si>
    <t>Base Line</t>
  </si>
  <si>
    <t>DÚVIDA</t>
  </si>
  <si>
    <t>712020:8364b9cf-88a2-4399-9f86-fff7bed77ce2</t>
  </si>
  <si>
    <t>Atividades remuneradas extra BL</t>
  </si>
  <si>
    <t>ERRO</t>
  </si>
  <si>
    <t>Caso de Teste</t>
  </si>
  <si>
    <t>Developer</t>
  </si>
  <si>
    <t>557058:43e80a76-deba-4dd8-b64d-c7c8e99c6312</t>
  </si>
  <si>
    <t>Micro Projeto</t>
  </si>
  <si>
    <t>Caso de Uso</t>
  </si>
  <si>
    <t>6245e14af6a26900695d5c1c</t>
  </si>
  <si>
    <t>Demonstração-Aceite</t>
  </si>
  <si>
    <t>557058:004709f9-0a88-4979-a875-f58ca3985cf7</t>
  </si>
  <si>
    <t>557058:330c824e-66ab-4df0-b7eb-8ddf9d578a4e</t>
  </si>
  <si>
    <t>Stephanie Oliveira</t>
  </si>
  <si>
    <t>606b1d7bbc3c3f006ffa75a2</t>
  </si>
  <si>
    <t>Plano de Testes</t>
  </si>
  <si>
    <t>712020:4d5b2de5-c33f-44cb-8545-f17228d08baf</t>
  </si>
  <si>
    <t>Preparação de Dados</t>
  </si>
  <si>
    <t>Teste Unitário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</si>
</sst>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b/>
      <sz val="11"/>
      <color theme="0"/>
      <name val="Aptos Narrow"/>
      <family val="2"/>
      <scheme val="minor"/>
    </font>
    <font>
      <u/>
      <sz val="11"/>
      <color theme="1"/>
      <name val="Aptos Narrow"/>
      <family val="2"/>
      <scheme val="minor"/>
    </font>
    <font>
      <u/>
      <sz val="11"/>
      <name val="Aptos Narrow"/>
      <family val="2"/>
      <scheme val="minor"/>
    </font>
    <font>
      <sz val="11"/>
      <color rgb="FF242424"/>
      <name val="Aptos Narrow"/>
      <charset val="1"/>
    </font>
    <font>
      <sz val="11"/>
      <color rgb="FF242424"/>
      <name val="Consolas"/>
      <family val="3"/>
    </font>
    <font>
      <b/>
      <sz val="11"/>
      <color rgb="FF242424"/>
      <name val="Consolas"/>
      <family val="3"/>
    </font>
    <font>
      <sz val="11"/>
      <color rgb="FF000000"/>
      <name val="Aptos Narrow"/>
      <family val="2"/>
      <scheme val="minor"/>
    </font>
    <font>
      <sz val="11"/>
      <color theme="1"/>
      <name val="Aptos Narrow"/>
      <family val="2"/>
    </font>
    <font>
      <sz val="11"/>
      <color rgb="FF000000"/>
      <name val="Aptos Narrow"/>
      <family val="2"/>
    </font>
    <font>
      <b/>
      <sz val="11"/>
      <name val="Aptos Narrow"/>
      <family val="2"/>
      <scheme val="minor"/>
    </font>
  </fonts>
  <fills count="11">
    <fill>
      <patternFill patternType="none"/>
    </fill>
    <fill>
      <patternFill patternType="gray125"/>
    </fill>
    <fill>
      <patternFill patternType="solid">
        <fgColor theme="1"/>
        <bgColor theme="1"/>
      </patternFill>
    </fill>
    <fill>
      <patternFill patternType="solid">
        <fgColor theme="3" tint="0.249977111117893"/>
        <bgColor indexed="64"/>
      </patternFill>
    </fill>
    <fill>
      <patternFill patternType="darkUp"/>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AFACD"/>
        <bgColor indexed="64"/>
      </patternFill>
    </fill>
  </fills>
  <borders count="31">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diagonalUp="1">
      <left/>
      <right style="thin">
        <color indexed="64"/>
      </right>
      <top/>
      <bottom style="thin">
        <color rgb="FF000000"/>
      </bottom>
      <diagonal style="medium">
        <color rgb="FF000000"/>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rgb="FF000000"/>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rgb="FF000000"/>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rgb="FF000000"/>
      </left>
      <right style="thin">
        <color indexed="64"/>
      </right>
      <top style="thin">
        <color rgb="FF000000"/>
      </top>
      <bottom style="thin">
        <color theme="0"/>
      </bottom>
      <diagonal/>
    </border>
    <border>
      <left style="thin">
        <color rgb="FF000000"/>
      </left>
      <right style="thin">
        <color indexed="64"/>
      </right>
      <top style="thin">
        <color theme="0"/>
      </top>
      <bottom style="thin">
        <color theme="0"/>
      </bottom>
      <diagonal/>
    </border>
    <border>
      <left style="thin">
        <color rgb="FF000000"/>
      </left>
      <right style="thin">
        <color indexed="64"/>
      </right>
      <top style="thin">
        <color theme="0"/>
      </top>
      <bottom style="thin">
        <color rgb="FF000000"/>
      </bottom>
      <diagonal/>
    </border>
    <border>
      <left/>
      <right style="thin">
        <color indexed="64"/>
      </right>
      <top style="thin">
        <color indexed="64"/>
      </top>
      <bottom/>
      <diagonal/>
    </border>
    <border>
      <left/>
      <right style="thin">
        <color theme="0"/>
      </right>
      <top style="thin">
        <color indexed="64"/>
      </top>
      <bottom style="thin">
        <color theme="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rgb="FF000000"/>
      </left>
      <right style="thin">
        <color indexed="64"/>
      </right>
      <top/>
      <bottom style="thin">
        <color theme="0"/>
      </bottom>
      <diagonal/>
    </border>
    <border>
      <left style="thin">
        <color rgb="FF000000"/>
      </left>
      <right style="thin">
        <color indexed="64"/>
      </right>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103">
    <xf numFmtId="0" fontId="0" fillId="0" borderId="0" xfId="0"/>
    <xf numFmtId="0" fontId="1" fillId="0" borderId="1" xfId="0" applyFont="1" applyBorder="1"/>
    <xf numFmtId="0" fontId="0" fillId="0" borderId="2" xfId="0" applyBorder="1"/>
    <xf numFmtId="0" fontId="0" fillId="0" borderId="3" xfId="0" applyBorder="1"/>
    <xf numFmtId="0" fontId="3" fillId="0" borderId="0" xfId="0" applyFont="1"/>
    <xf numFmtId="49" fontId="0" fillId="0" borderId="0" xfId="0" applyNumberFormat="1"/>
    <xf numFmtId="0" fontId="0" fillId="0" borderId="0" xfId="0" applyAlignment="1">
      <alignment horizontal="right"/>
    </xf>
    <xf numFmtId="1" fontId="0" fillId="0" borderId="0" xfId="0" applyNumberFormat="1"/>
    <xf numFmtId="0" fontId="4" fillId="4" borderId="4" xfId="0" applyFont="1" applyFill="1" applyBorder="1" applyAlignment="1">
      <alignment horizontal="right"/>
    </xf>
    <xf numFmtId="0" fontId="0" fillId="0" borderId="0" xfId="0" applyAlignment="1">
      <alignment horizontal="center"/>
    </xf>
    <xf numFmtId="1" fontId="0" fillId="0" borderId="5" xfId="0" applyNumberFormat="1" applyBorder="1"/>
    <xf numFmtId="0" fontId="0" fillId="0" borderId="5" xfId="0" applyBorder="1"/>
    <xf numFmtId="0" fontId="3" fillId="0" borderId="0" xfId="0" applyFont="1" applyAlignment="1">
      <alignment horizontal="center"/>
    </xf>
    <xf numFmtId="1" fontId="8" fillId="0" borderId="5" xfId="0" applyNumberFormat="1" applyFont="1" applyBorder="1"/>
    <xf numFmtId="164" fontId="8" fillId="0" borderId="5" xfId="0" applyNumberFormat="1" applyFont="1" applyBorder="1"/>
    <xf numFmtId="0" fontId="4" fillId="2" borderId="5" xfId="0" applyFont="1" applyFill="1" applyBorder="1" applyAlignment="1">
      <alignment horizontal="left" vertical="top"/>
    </xf>
    <xf numFmtId="0" fontId="4" fillId="2" borderId="5" xfId="0" applyFont="1" applyFill="1" applyBorder="1" applyAlignment="1">
      <alignment horizontal="center" vertical="top"/>
    </xf>
    <xf numFmtId="14" fontId="0" fillId="5" borderId="5" xfId="0" applyNumberFormat="1" applyFill="1" applyBorder="1"/>
    <xf numFmtId="49" fontId="0" fillId="5" borderId="5" xfId="0" applyNumberFormat="1" applyFill="1" applyBorder="1"/>
    <xf numFmtId="0" fontId="0" fillId="5" borderId="5" xfId="0" applyFill="1" applyBorder="1"/>
    <xf numFmtId="0" fontId="6" fillId="5" borderId="5" xfId="0" applyFont="1" applyFill="1" applyBorder="1" applyAlignment="1">
      <alignment horizontal="left" vertical="top"/>
    </xf>
    <xf numFmtId="0" fontId="3" fillId="5" borderId="5" xfId="0" applyFont="1" applyFill="1" applyBorder="1" applyAlignment="1">
      <alignment horizontal="right" vertical="top"/>
    </xf>
    <xf numFmtId="0" fontId="5" fillId="5" borderId="5" xfId="1" applyFont="1" applyFill="1" applyBorder="1"/>
    <xf numFmtId="0" fontId="3" fillId="5" borderId="5" xfId="0" applyFont="1" applyFill="1" applyBorder="1" applyAlignment="1">
      <alignment horizontal="left" vertical="top"/>
    </xf>
    <xf numFmtId="0" fontId="7" fillId="5" borderId="5" xfId="0" applyFont="1" applyFill="1" applyBorder="1"/>
    <xf numFmtId="1" fontId="0" fillId="5" borderId="5" xfId="0" applyNumberFormat="1" applyFill="1" applyBorder="1"/>
    <xf numFmtId="0" fontId="0" fillId="5" borderId="5" xfId="0" applyFill="1" applyBorder="1" applyAlignment="1">
      <alignment horizontal="right"/>
    </xf>
    <xf numFmtId="0" fontId="3" fillId="5" borderId="5" xfId="0" applyFont="1" applyFill="1" applyBorder="1" applyAlignment="1">
      <alignment horizontal="center"/>
    </xf>
    <xf numFmtId="14" fontId="0" fillId="0" borderId="5" xfId="0" applyNumberFormat="1" applyBorder="1"/>
    <xf numFmtId="0" fontId="6" fillId="0" borderId="5" xfId="0" applyFont="1" applyBorder="1" applyAlignment="1">
      <alignment horizontal="left" vertical="top"/>
    </xf>
    <xf numFmtId="0" fontId="3" fillId="0" borderId="5" xfId="0" applyFont="1" applyBorder="1" applyAlignment="1">
      <alignment horizontal="right" vertical="top"/>
    </xf>
    <xf numFmtId="0" fontId="5" fillId="0" borderId="5" xfId="1" applyFont="1" applyBorder="1"/>
    <xf numFmtId="0" fontId="3" fillId="0" borderId="5" xfId="0" applyFont="1" applyBorder="1" applyAlignment="1">
      <alignment horizontal="left" vertical="top"/>
    </xf>
    <xf numFmtId="0" fontId="0" fillId="0" borderId="5" xfId="0" applyBorder="1" applyAlignment="1">
      <alignment horizontal="right"/>
    </xf>
    <xf numFmtId="0" fontId="3" fillId="7" borderId="5" xfId="0" applyFont="1" applyFill="1" applyBorder="1" applyAlignment="1">
      <alignment horizontal="center"/>
    </xf>
    <xf numFmtId="0" fontId="3" fillId="0" borderId="5" xfId="0" applyFont="1" applyBorder="1"/>
    <xf numFmtId="0" fontId="0" fillId="0" borderId="5" xfId="0" applyBorder="1" applyAlignment="1">
      <alignment vertical="top" wrapText="1"/>
    </xf>
    <xf numFmtId="0" fontId="0" fillId="7" borderId="5" xfId="0" applyFill="1" applyBorder="1" applyAlignment="1">
      <alignment horizontal="center"/>
    </xf>
    <xf numFmtId="0" fontId="3" fillId="0" borderId="5" xfId="0" applyFont="1" applyBorder="1" applyAlignment="1">
      <alignment vertical="top" wrapText="1"/>
    </xf>
    <xf numFmtId="0" fontId="2" fillId="0" borderId="5" xfId="1" applyBorder="1"/>
    <xf numFmtId="0" fontId="7" fillId="0" borderId="5" xfId="0" applyFont="1" applyBorder="1"/>
    <xf numFmtId="0" fontId="0" fillId="0" borderId="7" xfId="0" applyBorder="1" applyAlignment="1">
      <alignment horizontal="right"/>
    </xf>
    <xf numFmtId="0" fontId="0" fillId="3" borderId="5" xfId="0" applyFill="1" applyBorder="1"/>
    <xf numFmtId="0" fontId="2" fillId="7" borderId="5" xfId="1" applyFill="1" applyBorder="1" applyAlignment="1">
      <alignment horizontal="center"/>
    </xf>
    <xf numFmtId="0" fontId="0" fillId="0" borderId="5" xfId="0" applyBorder="1" applyAlignment="1">
      <alignment horizontal="center"/>
    </xf>
    <xf numFmtId="0" fontId="0" fillId="3" borderId="5" xfId="0" applyFill="1" applyBorder="1" applyAlignment="1">
      <alignment horizontal="center"/>
    </xf>
    <xf numFmtId="0" fontId="3" fillId="0" borderId="5" xfId="0" applyFont="1" applyBorder="1" applyAlignment="1">
      <alignment horizontal="center"/>
    </xf>
    <xf numFmtId="0" fontId="10" fillId="0" borderId="5" xfId="0" applyFont="1" applyBorder="1"/>
    <xf numFmtId="0" fontId="4" fillId="6" borderId="8" xfId="0" applyFont="1" applyFill="1" applyBorder="1" applyAlignment="1">
      <alignment horizontal="center"/>
    </xf>
    <xf numFmtId="0" fontId="4" fillId="6" borderId="9" xfId="0" applyFont="1" applyFill="1" applyBorder="1" applyAlignment="1">
      <alignment horizontal="center"/>
    </xf>
    <xf numFmtId="0" fontId="4" fillId="6" borderId="10" xfId="0" applyFont="1" applyFill="1" applyBorder="1" applyAlignment="1">
      <alignment horizontal="center"/>
    </xf>
    <xf numFmtId="1" fontId="4" fillId="2" borderId="14" xfId="0" applyNumberFormat="1" applyFont="1" applyFill="1" applyBorder="1" applyAlignment="1">
      <alignment horizontal="center"/>
    </xf>
    <xf numFmtId="1" fontId="4" fillId="2" borderId="15" xfId="0" applyNumberFormat="1" applyFont="1" applyFill="1" applyBorder="1" applyAlignment="1">
      <alignment horizontal="center"/>
    </xf>
    <xf numFmtId="1" fontId="4" fillId="2" borderId="16" xfId="0" applyNumberFormat="1" applyFont="1" applyFill="1" applyBorder="1" applyAlignment="1">
      <alignment horizontal="right"/>
    </xf>
    <xf numFmtId="0" fontId="4" fillId="2" borderId="17" xfId="0" applyFont="1" applyFill="1" applyBorder="1" applyAlignment="1">
      <alignment horizontal="right"/>
    </xf>
    <xf numFmtId="0" fontId="4" fillId="2" borderId="18" xfId="0" applyFont="1" applyFill="1" applyBorder="1" applyAlignment="1">
      <alignment horizontal="right"/>
    </xf>
    <xf numFmtId="0" fontId="4" fillId="2" borderId="16" xfId="0" applyFont="1" applyFill="1" applyBorder="1" applyAlignment="1">
      <alignment horizontal="right"/>
    </xf>
    <xf numFmtId="0" fontId="4" fillId="2" borderId="5" xfId="0" applyFont="1" applyFill="1" applyBorder="1"/>
    <xf numFmtId="49" fontId="4" fillId="2" borderId="5" xfId="0" applyNumberFormat="1" applyFont="1" applyFill="1" applyBorder="1"/>
    <xf numFmtId="0" fontId="4" fillId="2" borderId="5" xfId="0" applyFont="1" applyFill="1" applyBorder="1" applyAlignment="1">
      <alignment horizontal="right" vertical="top"/>
    </xf>
    <xf numFmtId="0" fontId="4" fillId="2" borderId="5" xfId="0" applyFont="1" applyFill="1" applyBorder="1" applyAlignment="1">
      <alignment horizontal="left"/>
    </xf>
    <xf numFmtId="0" fontId="3" fillId="3" borderId="5" xfId="0" applyFont="1" applyFill="1" applyBorder="1"/>
    <xf numFmtId="0" fontId="2" fillId="5" borderId="5" xfId="1" applyFill="1" applyBorder="1" applyAlignment="1">
      <alignment horizontal="center"/>
    </xf>
    <xf numFmtId="0" fontId="11" fillId="0" borderId="0" xfId="0" applyFont="1"/>
    <xf numFmtId="0" fontId="12" fillId="0" borderId="0" xfId="0" applyFont="1"/>
    <xf numFmtId="1" fontId="9" fillId="8" borderId="5" xfId="0" applyNumberFormat="1" applyFont="1" applyFill="1" applyBorder="1"/>
    <xf numFmtId="164" fontId="9" fillId="8" borderId="5" xfId="0" applyNumberFormat="1" applyFont="1" applyFill="1" applyBorder="1"/>
    <xf numFmtId="1" fontId="9" fillId="9" borderId="5" xfId="0" applyNumberFormat="1" applyFont="1" applyFill="1" applyBorder="1"/>
    <xf numFmtId="164" fontId="9" fillId="9" borderId="5" xfId="0" applyNumberFormat="1" applyFont="1" applyFill="1" applyBorder="1"/>
    <xf numFmtId="0" fontId="0" fillId="0" borderId="0" xfId="0" applyAlignment="1">
      <alignment wrapText="1"/>
    </xf>
    <xf numFmtId="0" fontId="4" fillId="6" borderId="4" xfId="0" applyFont="1" applyFill="1" applyBorder="1"/>
    <xf numFmtId="0" fontId="4" fillId="6" borderId="4" xfId="0" applyFont="1" applyFill="1" applyBorder="1" applyAlignment="1">
      <alignment wrapText="1"/>
    </xf>
    <xf numFmtId="0" fontId="0" fillId="0" borderId="4" xfId="0" applyBorder="1" applyAlignment="1">
      <alignment vertical="top"/>
    </xf>
    <xf numFmtId="1" fontId="0" fillId="0" borderId="4" xfId="0" applyNumberFormat="1" applyBorder="1" applyAlignment="1">
      <alignment vertical="top"/>
    </xf>
    <xf numFmtId="0" fontId="0" fillId="0" borderId="4" xfId="0" applyBorder="1" applyAlignment="1">
      <alignment vertical="top" wrapText="1"/>
    </xf>
    <xf numFmtId="0" fontId="4" fillId="6" borderId="4" xfId="0" applyFont="1" applyFill="1" applyBorder="1" applyAlignment="1">
      <alignment horizontal="left" vertical="top"/>
    </xf>
    <xf numFmtId="0" fontId="2" fillId="0" borderId="4" xfId="1" applyBorder="1" applyAlignment="1">
      <alignment horizontal="left" vertical="top"/>
    </xf>
    <xf numFmtId="0" fontId="0" fillId="0" borderId="0" xfId="0" applyAlignment="1">
      <alignment horizontal="left" vertical="top"/>
    </xf>
    <xf numFmtId="1" fontId="13" fillId="10" borderId="28" xfId="0" applyNumberFormat="1" applyFont="1" applyFill="1" applyBorder="1" applyAlignment="1">
      <alignment horizontal="right"/>
    </xf>
    <xf numFmtId="1" fontId="8" fillId="10" borderId="5" xfId="0" applyNumberFormat="1" applyFont="1" applyFill="1" applyBorder="1"/>
    <xf numFmtId="1" fontId="9" fillId="10" borderId="5" xfId="0" applyNumberFormat="1" applyFont="1" applyFill="1" applyBorder="1"/>
    <xf numFmtId="1" fontId="13" fillId="10" borderId="29" xfId="0" applyNumberFormat="1" applyFont="1" applyFill="1" applyBorder="1" applyAlignment="1">
      <alignment horizontal="right"/>
    </xf>
    <xf numFmtId="0" fontId="2" fillId="0" borderId="5" xfId="1" applyBorder="1" applyAlignment="1">
      <alignment horizontal="center"/>
    </xf>
    <xf numFmtId="49" fontId="7" fillId="0" borderId="5" xfId="0" applyNumberFormat="1" applyFont="1" applyBorder="1"/>
    <xf numFmtId="0" fontId="0" fillId="0" borderId="5" xfId="0" applyBorder="1" applyAlignment="1">
      <alignment wrapText="1"/>
    </xf>
    <xf numFmtId="0" fontId="4" fillId="3" borderId="5" xfId="0" applyFont="1" applyFill="1" applyBorder="1" applyAlignment="1">
      <alignment horizontal="center"/>
    </xf>
    <xf numFmtId="0" fontId="0" fillId="0" borderId="2" xfId="0" applyBorder="1"/>
    <xf numFmtId="0" fontId="0" fillId="0" borderId="30" xfId="0" applyBorder="1"/>
    <xf numFmtId="1" fontId="4" fillId="2" borderId="11" xfId="0" applyNumberFormat="1" applyFont="1" applyFill="1" applyBorder="1" applyAlignment="1">
      <alignment horizontal="center"/>
    </xf>
    <xf numFmtId="0" fontId="0" fillId="0" borderId="20" xfId="0" applyBorder="1"/>
    <xf numFmtId="1" fontId="4" fillId="2" borderId="12" xfId="0" applyNumberFormat="1" applyFont="1" applyFill="1" applyBorder="1" applyAlignment="1">
      <alignment horizontal="center"/>
    </xf>
    <xf numFmtId="0" fontId="4" fillId="4" borderId="25" xfId="0" applyFont="1" applyFill="1" applyBorder="1" applyAlignment="1">
      <alignment horizontal="center"/>
    </xf>
    <xf numFmtId="0" fontId="0" fillId="0" borderId="6" xfId="0" applyBorder="1"/>
    <xf numFmtId="1" fontId="4" fillId="2" borderId="13" xfId="0" applyNumberFormat="1" applyFont="1" applyFill="1" applyBorder="1" applyAlignment="1">
      <alignment horizontal="center" vertical="center"/>
    </xf>
    <xf numFmtId="0" fontId="0" fillId="0" borderId="27" xfId="0" applyBorder="1"/>
    <xf numFmtId="1" fontId="4" fillId="2" borderId="12" xfId="0" applyNumberFormat="1" applyFont="1" applyFill="1" applyBorder="1" applyAlignment="1">
      <alignment horizontal="center" vertical="center"/>
    </xf>
    <xf numFmtId="0" fontId="0" fillId="0" borderId="26" xfId="0" applyBorder="1"/>
    <xf numFmtId="0" fontId="0" fillId="4" borderId="5" xfId="0" applyFill="1" applyBorder="1" applyAlignment="1">
      <alignment horizontal="center"/>
    </xf>
    <xf numFmtId="0" fontId="0" fillId="0" borderId="19" xfId="0" applyBorder="1"/>
    <xf numFmtId="0" fontId="0" fillId="0" borderId="21" xfId="0" applyBorder="1"/>
    <xf numFmtId="0" fontId="0" fillId="0" borderId="22" xfId="0" applyBorder="1"/>
    <xf numFmtId="0" fontId="0" fillId="0" borderId="23" xfId="0" applyBorder="1"/>
    <xf numFmtId="0" fontId="0" fillId="0" borderId="24" xfId="0" applyBorder="1"/>
  </cellXfs>
  <cellStyles count="2">
    <cellStyle name="Hiperlink" xfId="1" builtinId="8"/>
    <cellStyle name="Normal" xfId="0" builtinId="0"/>
  </cellStyles>
  <dxfs count="14">
    <dxf>
      <font>
        <strike val="0"/>
        <condense val="0"/>
        <extend val="0"/>
        <outline val="0"/>
        <shadow val="0"/>
        <vertAlign val="baseline"/>
        <sz val="11"/>
        <color rgb="FF000000"/>
        <name val="Aptos Narrow"/>
        <family val="2"/>
      </font>
    </dxf>
    <dxf>
      <font>
        <strike val="0"/>
        <condense val="0"/>
        <extend val="0"/>
        <outline val="0"/>
        <shadow val="0"/>
        <vertAlign val="baseline"/>
        <sz val="11"/>
        <color rgb="FF000000"/>
        <name val="Aptos Narrow"/>
        <family val="2"/>
      </font>
      <fill>
        <patternFill>
          <fgColor indexed="64"/>
          <bgColor auto="1"/>
        </patternFill>
      </fill>
    </dxf>
    <dxf>
      <font>
        <strike val="0"/>
        <outline val="0"/>
        <shadow val="0"/>
        <vertAlign val="baseline"/>
        <sz val="11"/>
        <name val="Aptos Narrow"/>
        <family val="2"/>
      </font>
    </dxf>
    <dxf>
      <font>
        <strike val="0"/>
        <outline val="0"/>
        <shadow val="0"/>
        <vertAlign val="baseline"/>
        <sz val="11"/>
        <name val="Aptos Narrow"/>
        <family val="2"/>
      </font>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Aptos Narrow"/>
        <family val="2"/>
        <scheme val="minor"/>
      </font>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Recurso (horas)</a:t>
            </a:r>
          </a:p>
        </c:rich>
      </c:tx>
      <c:overlay val="0"/>
      <c:spPr>
        <a:noFill/>
        <a:ln>
          <a:noFill/>
          <a:prstDash val="solid"/>
        </a:ln>
      </c:spPr>
    </c:title>
    <c:autoTitleDeleted val="0"/>
    <c:plotArea>
      <c:layout/>
      <c:barChart>
        <c:barDir val="col"/>
        <c:grouping val="clustered"/>
        <c:varyColors val="0"/>
        <c:ser>
          <c:idx val="0"/>
          <c:order val="0"/>
          <c:tx>
            <c:strRef>
              <c:f>Métricas!$C$10:$C$11</c:f>
              <c:strCache>
                <c:ptCount val="2"/>
                <c:pt idx="0">
                  <c:v>Firmadas</c:v>
                </c:pt>
                <c:pt idx="1">
                  <c:v>Horas</c:v>
                </c:pt>
              </c:strCache>
            </c:strRef>
          </c:tx>
          <c:spPr>
            <a:solidFill>
              <a:schemeClr val="accent1"/>
            </a:solidFill>
            <a:ln>
              <a:noFill/>
              <a:prstDash val="solid"/>
            </a:ln>
          </c:spPr>
          <c:invertIfNegative val="0"/>
          <c:cat>
            <c:strRef>
              <c:f>Métricas!$B$12:$B$19</c:f>
              <c:strCache>
                <c:ptCount val="8"/>
                <c:pt idx="0">
                  <c:v>Alexandre Trindade Pereira</c:v>
                </c:pt>
                <c:pt idx="1">
                  <c:v>Giovani Perotto Mesquita</c:v>
                </c:pt>
                <c:pt idx="2">
                  <c:v>Luis Henrique Petkovicz</c:v>
                </c:pt>
                <c:pt idx="3">
                  <c:v>Luiz Felipe Brandão da Silva</c:v>
                </c:pt>
                <c:pt idx="4">
                  <c:v>Pablo Rocha</c:v>
                </c:pt>
                <c:pt idx="5">
                  <c:v>Regina Albanus</c:v>
                </c:pt>
                <c:pt idx="6">
                  <c:v>Stephanie Oliveira</c:v>
                </c:pt>
                <c:pt idx="7">
                  <c:v>Tanise Sarmento</c:v>
                </c:pt>
              </c:strCache>
            </c:strRef>
          </c:cat>
          <c:val>
            <c:numRef>
              <c:f>Métricas!$C$12:$C$19</c:f>
              <c:numCache>
                <c:formatCode>0</c:formatCode>
                <c:ptCount val="8"/>
                <c:pt idx="0">
                  <c:v>10</c:v>
                </c:pt>
                <c:pt idx="1">
                  <c:v>0</c:v>
                </c:pt>
                <c:pt idx="2">
                  <c:v>20</c:v>
                </c:pt>
                <c:pt idx="3">
                  <c:v>20</c:v>
                </c:pt>
                <c:pt idx="4">
                  <c:v>30</c:v>
                </c:pt>
                <c:pt idx="5">
                  <c:v>18</c:v>
                </c:pt>
                <c:pt idx="6">
                  <c:v>0</c:v>
                </c:pt>
                <c:pt idx="7">
                  <c:v>15</c:v>
                </c:pt>
              </c:numCache>
            </c:numRef>
          </c:val>
          <c:extLst>
            <c:ext xmlns:c16="http://schemas.microsoft.com/office/drawing/2014/chart" uri="{C3380CC4-5D6E-409C-BE32-E72D297353CC}">
              <c16:uniqueId val="{00000000-2B26-4A1D-8323-4C7D1E8B024A}"/>
            </c:ext>
          </c:extLst>
        </c:ser>
        <c:ser>
          <c:idx val="1"/>
          <c:order val="1"/>
          <c:tx>
            <c:strRef>
              <c:f>Métricas!$E$10:$E$11</c:f>
              <c:strCache>
                <c:ptCount val="2"/>
                <c:pt idx="0">
                  <c:v>Livres</c:v>
                </c:pt>
                <c:pt idx="1">
                  <c:v>Horas</c:v>
                </c:pt>
              </c:strCache>
            </c:strRef>
          </c:tx>
          <c:spPr>
            <a:solidFill>
              <a:srgbClr val="FF0000"/>
            </a:solidFill>
            <a:ln>
              <a:noFill/>
              <a:prstDash val="solid"/>
            </a:ln>
          </c:spPr>
          <c:invertIfNegative val="0"/>
          <c:cat>
            <c:strRef>
              <c:f>Métricas!$B$12:$B$19</c:f>
              <c:strCache>
                <c:ptCount val="8"/>
                <c:pt idx="0">
                  <c:v>Alexandre Trindade Pereira</c:v>
                </c:pt>
                <c:pt idx="1">
                  <c:v>Giovani Perotto Mesquita</c:v>
                </c:pt>
                <c:pt idx="2">
                  <c:v>Luis Henrique Petkovicz</c:v>
                </c:pt>
                <c:pt idx="3">
                  <c:v>Luiz Felipe Brandão da Silva</c:v>
                </c:pt>
                <c:pt idx="4">
                  <c:v>Pablo Rocha</c:v>
                </c:pt>
                <c:pt idx="5">
                  <c:v>Regina Albanus</c:v>
                </c:pt>
                <c:pt idx="6">
                  <c:v>Stephanie Oliveira</c:v>
                </c:pt>
                <c:pt idx="7">
                  <c:v>Tanise Sarmento</c:v>
                </c:pt>
              </c:strCache>
            </c:strRef>
          </c:cat>
          <c:val>
            <c:numRef>
              <c:f>Métricas!$E$12:$E$19</c:f>
              <c:numCache>
                <c:formatCode>0</c:formatCode>
                <c:ptCount val="8"/>
                <c:pt idx="0">
                  <c:v>0</c:v>
                </c:pt>
                <c:pt idx="1">
                  <c:v>0</c:v>
                </c:pt>
                <c:pt idx="2">
                  <c:v>10</c:v>
                </c:pt>
                <c:pt idx="3">
                  <c:v>2</c:v>
                </c:pt>
                <c:pt idx="4">
                  <c:v>0</c:v>
                </c:pt>
                <c:pt idx="5">
                  <c:v>12</c:v>
                </c:pt>
                <c:pt idx="6">
                  <c:v>0</c:v>
                </c:pt>
                <c:pt idx="7">
                  <c:v>0</c:v>
                </c:pt>
              </c:numCache>
            </c:numRef>
          </c:val>
          <c:extLst>
            <c:ext xmlns:c16="http://schemas.microsoft.com/office/drawing/2014/chart" uri="{C3380CC4-5D6E-409C-BE32-E72D297353CC}">
              <c16:uniqueId val="{00000001-2B26-4A1D-8323-4C7D1E8B024A}"/>
            </c:ext>
          </c:extLst>
        </c:ser>
        <c:dLbls>
          <c:showLegendKey val="0"/>
          <c:showVal val="0"/>
          <c:showCatName val="0"/>
          <c:showSerName val="0"/>
          <c:showPercent val="0"/>
          <c:showBubbleSize val="0"/>
        </c:dLbls>
        <c:gapWidth val="219"/>
        <c:overlap val="-27"/>
        <c:axId val="413704200"/>
        <c:axId val="413706248"/>
      </c:barChart>
      <c:catAx>
        <c:axId val="413704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13706248"/>
        <c:crosses val="autoZero"/>
        <c:auto val="1"/>
        <c:lblAlgn val="ctr"/>
        <c:lblOffset val="100"/>
        <c:noMultiLvlLbl val="0"/>
      </c:catAx>
      <c:valAx>
        <c:axId val="4137062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1370420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Capex X Opex</a:t>
            </a:r>
          </a:p>
        </c:rich>
      </c:tx>
      <c:overlay val="0"/>
      <c:spPr>
        <a:noFill/>
        <a:ln>
          <a:noFill/>
          <a:prstDash val="solid"/>
        </a:ln>
      </c:spPr>
    </c:title>
    <c:autoTitleDeleted val="0"/>
    <c:plotArea>
      <c:layout/>
      <c:barChart>
        <c:barDir val="col"/>
        <c:grouping val="clustered"/>
        <c:varyColors val="0"/>
        <c:ser>
          <c:idx val="0"/>
          <c:order val="0"/>
          <c:tx>
            <c:strRef>
              <c:f>Métricas!$B$3</c:f>
              <c:strCache>
                <c:ptCount val="1"/>
                <c:pt idx="0">
                  <c:v>Horas</c:v>
                </c:pt>
              </c:strCache>
            </c:strRef>
          </c:tx>
          <c:spPr>
            <a:solidFill>
              <a:schemeClr val="accent1"/>
            </a:solidFill>
            <a:ln>
              <a:noFill/>
              <a:prstDash val="solid"/>
            </a:ln>
          </c:spPr>
          <c:invertIfNegative val="0"/>
          <c:cat>
            <c:strRef>
              <c:f>Métricas!$C$2:$E$2</c:f>
              <c:strCache>
                <c:ptCount val="3"/>
                <c:pt idx="0">
                  <c:v>BL</c:v>
                </c:pt>
                <c:pt idx="1">
                  <c:v>CR</c:v>
                </c:pt>
                <c:pt idx="2">
                  <c:v>MP</c:v>
                </c:pt>
              </c:strCache>
            </c:strRef>
          </c:cat>
          <c:val>
            <c:numRef>
              <c:f>Métricas!$C$3:$E$3</c:f>
              <c:numCache>
                <c:formatCode>0</c:formatCode>
                <c:ptCount val="3"/>
                <c:pt idx="0">
                  <c:v>112</c:v>
                </c:pt>
                <c:pt idx="1">
                  <c:v>23</c:v>
                </c:pt>
                <c:pt idx="2">
                  <c:v>2</c:v>
                </c:pt>
              </c:numCache>
            </c:numRef>
          </c:val>
          <c:extLst>
            <c:ext xmlns:c16="http://schemas.microsoft.com/office/drawing/2014/chart" uri="{C3380CC4-5D6E-409C-BE32-E72D297353CC}">
              <c16:uniqueId val="{00000000-7EB5-42B0-8FCB-07AAA3497CC1}"/>
            </c:ext>
          </c:extLst>
        </c:ser>
        <c:ser>
          <c:idx val="1"/>
          <c:order val="1"/>
          <c:tx>
            <c:strRef>
              <c:f>Métricas!$B$4</c:f>
              <c:strCache>
                <c:ptCount val="1"/>
                <c:pt idx="0">
                  <c:v>CAPEX</c:v>
                </c:pt>
              </c:strCache>
            </c:strRef>
          </c:tx>
          <c:spPr>
            <a:solidFill>
              <a:schemeClr val="accent2"/>
            </a:solidFill>
            <a:ln>
              <a:noFill/>
              <a:prstDash val="solid"/>
            </a:ln>
          </c:spPr>
          <c:invertIfNegative val="0"/>
          <c:cat>
            <c:strRef>
              <c:f>Métricas!$C$2:$E$2</c:f>
              <c:strCache>
                <c:ptCount val="3"/>
                <c:pt idx="0">
                  <c:v>BL</c:v>
                </c:pt>
                <c:pt idx="1">
                  <c:v>CR</c:v>
                </c:pt>
                <c:pt idx="2">
                  <c:v>MP</c:v>
                </c:pt>
              </c:strCache>
            </c:strRef>
          </c:cat>
          <c:val>
            <c:numRef>
              <c:f>Métricas!$C$4:$E$4</c:f>
              <c:numCache>
                <c:formatCode>0</c:formatCode>
                <c:ptCount val="3"/>
                <c:pt idx="0">
                  <c:v>30</c:v>
                </c:pt>
                <c:pt idx="1">
                  <c:v>3</c:v>
                </c:pt>
                <c:pt idx="2">
                  <c:v>2</c:v>
                </c:pt>
              </c:numCache>
            </c:numRef>
          </c:val>
          <c:extLst>
            <c:ext xmlns:c16="http://schemas.microsoft.com/office/drawing/2014/chart" uri="{C3380CC4-5D6E-409C-BE32-E72D297353CC}">
              <c16:uniqueId val="{00000001-7EB5-42B0-8FCB-07AAA3497CC1}"/>
            </c:ext>
          </c:extLst>
        </c:ser>
        <c:ser>
          <c:idx val="2"/>
          <c:order val="2"/>
          <c:tx>
            <c:strRef>
              <c:f>Métricas!$B$5</c:f>
              <c:strCache>
                <c:ptCount val="1"/>
                <c:pt idx="0">
                  <c:v>OPEX</c:v>
                </c:pt>
              </c:strCache>
            </c:strRef>
          </c:tx>
          <c:spPr>
            <a:solidFill>
              <a:schemeClr val="accent3"/>
            </a:solidFill>
            <a:ln>
              <a:noFill/>
              <a:prstDash val="solid"/>
            </a:ln>
          </c:spPr>
          <c:invertIfNegative val="0"/>
          <c:cat>
            <c:strRef>
              <c:f>Métricas!$C$2:$E$2</c:f>
              <c:strCache>
                <c:ptCount val="3"/>
                <c:pt idx="0">
                  <c:v>BL</c:v>
                </c:pt>
                <c:pt idx="1">
                  <c:v>CR</c:v>
                </c:pt>
                <c:pt idx="2">
                  <c:v>MP</c:v>
                </c:pt>
              </c:strCache>
            </c:strRef>
          </c:cat>
          <c:val>
            <c:numRef>
              <c:f>Métricas!$C$5:$E$5</c:f>
              <c:numCache>
                <c:formatCode>0</c:formatCode>
                <c:ptCount val="3"/>
                <c:pt idx="0">
                  <c:v>50</c:v>
                </c:pt>
                <c:pt idx="1">
                  <c:v>10</c:v>
                </c:pt>
                <c:pt idx="2">
                  <c:v>0</c:v>
                </c:pt>
              </c:numCache>
            </c:numRef>
          </c:val>
          <c:extLst>
            <c:ext xmlns:c16="http://schemas.microsoft.com/office/drawing/2014/chart" uri="{C3380CC4-5D6E-409C-BE32-E72D297353CC}">
              <c16:uniqueId val="{00000002-7EB5-42B0-8FCB-07AAA3497CC1}"/>
            </c:ext>
          </c:extLst>
        </c:ser>
        <c:dLbls>
          <c:showLegendKey val="0"/>
          <c:showVal val="0"/>
          <c:showCatName val="0"/>
          <c:showSerName val="0"/>
          <c:showPercent val="0"/>
          <c:showBubbleSize val="0"/>
        </c:dLbls>
        <c:gapWidth val="219"/>
        <c:overlap val="-27"/>
        <c:axId val="1877270223"/>
        <c:axId val="535943535"/>
      </c:barChart>
      <c:catAx>
        <c:axId val="18772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535943535"/>
        <c:crosses val="autoZero"/>
        <c:auto val="1"/>
        <c:lblAlgn val="ctr"/>
        <c:lblOffset val="100"/>
        <c:noMultiLvlLbl val="0"/>
      </c:catAx>
      <c:valAx>
        <c:axId val="535943535"/>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crossAx val="18772702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123825</xdr:colOff>
      <xdr:row>0</xdr:row>
      <xdr:rowOff>161925</xdr:rowOff>
    </xdr:from>
    <xdr:to>
      <xdr:col>16</xdr:col>
      <xdr:colOff>518160</xdr:colOff>
      <xdr:row>16</xdr:row>
      <xdr:rowOff>160020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17</xdr:row>
      <xdr:rowOff>76200</xdr:rowOff>
    </xdr:from>
    <xdr:to>
      <xdr:col>16</xdr:col>
      <xdr:colOff>504825</xdr:colOff>
      <xdr:row>33</xdr:row>
      <xdr:rowOff>57150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3" displayName="Tabela3" ref="B2:B6" totalsRowShown="0" headerRowDxfId="13" headerRowBorderDxfId="12" tableBorderDxfId="11" totalsRowBorderDxfId="10">
  <autoFilter ref="B2:B6" xr:uid="{00000000-0009-0000-0100-000001000000}"/>
  <sortState xmlns:xlrd2="http://schemas.microsoft.com/office/spreadsheetml/2017/richdata2" ref="B3:B6">
    <sortCondition ref="B2:B6"/>
  </sortState>
  <tableColumns count="1">
    <tableColumn id="1" xr3:uid="{00000000-0010-0000-0000-000001000000}" name="Tipos Jira"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7" displayName="Tabela7" ref="D2:D12" totalsRowShown="0" headerRowDxfId="8" headerRowBorderDxfId="7" tableBorderDxfId="6" totalsRowBorderDxfId="5">
  <autoFilter ref="D2:D12" xr:uid="{00000000-0009-0000-0100-000002000000}"/>
  <sortState xmlns:xlrd2="http://schemas.microsoft.com/office/spreadsheetml/2017/richdata2" ref="D3:D12">
    <sortCondition ref="D2:D12"/>
  </sortState>
  <tableColumns count="1">
    <tableColumn id="1" xr3:uid="{00000000-0010-0000-0100-000001000000}" name="Etapa Jira" dataDxfId="4"/>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9" displayName="Tabela9" ref="F2:H10" totalsRowShown="0">
  <autoFilter ref="F2:H10" xr:uid="{00000000-0009-0000-0100-000003000000}"/>
  <sortState xmlns:xlrd2="http://schemas.microsoft.com/office/spreadsheetml/2017/richdata2" ref="F3:H10">
    <sortCondition ref="F2:F10"/>
  </sortState>
  <tableColumns count="3">
    <tableColumn id="1" xr3:uid="{00000000-0010-0000-0200-000001000000}" name="Pessoas"/>
    <tableColumn id="3" xr3:uid="{00000000-0010-0000-0200-000003000000}" name="Role"/>
    <tableColumn id="2" xr3:uid="{00000000-0010-0000-0200-000002000000}" name="UUID Jira"/>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5" displayName="Tabela5" ref="J2:K5" totalsRowShown="0">
  <autoFilter ref="J2:K5" xr:uid="{00000000-0009-0000-0100-000004000000}"/>
  <tableColumns count="2">
    <tableColumn id="1" xr3:uid="{00000000-0010-0000-0300-000001000000}" name="Tipos"/>
    <tableColumn id="2" xr3:uid="{00000000-0010-0000-0300-000002000000}" name="Descrição"/>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a4" displayName="Tabela4" ref="M2:N9" totalsRowShown="0" headerRowDxfId="3" dataDxfId="2">
  <autoFilter ref="M2:N9" xr:uid="{00000000-0009-0000-0100-000005000000}"/>
  <sortState xmlns:xlrd2="http://schemas.microsoft.com/office/spreadsheetml/2017/richdata2" ref="M3:N9">
    <sortCondition ref="M2:M9"/>
  </sortState>
  <tableColumns count="2">
    <tableColumn id="1" xr3:uid="{00000000-0010-0000-0400-000001000000}" name="Horas" dataDxfId="1"/>
    <tableColumn id="2" xr3:uid="{00000000-0010-0000-0400-000002000000}" name="Pontos"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ke.service-now.com/sc_task.do?sys_id=f220eaf33b9e76d05d7541dc73e45a57&amp;sysparm_record_target=sc_task&amp;sysparm_record_row=1&amp;sysparm_record_rows=3&amp;sysparm_record_list=request_item%3D65cb6a1b2b51b6101fb4f8614391bf9d%5EORDERBYDESCopened_at" TargetMode="External"/><Relationship Id="rId18" Type="http://schemas.openxmlformats.org/officeDocument/2006/relationships/hyperlink" Target="mailto:ensemble@thyssenkruppelevadores.com.br" TargetMode="External"/><Relationship Id="rId26" Type="http://schemas.openxmlformats.org/officeDocument/2006/relationships/hyperlink" Target="mailto:ensemble@thyssenkruppelevadores.com.br" TargetMode="External"/><Relationship Id="rId39" Type="http://schemas.openxmlformats.org/officeDocument/2006/relationships/hyperlink" Target="mailto:ensemble@thyssenkruppelevadores.com.br" TargetMode="External"/><Relationship Id="rId21" Type="http://schemas.openxmlformats.org/officeDocument/2006/relationships/hyperlink" Target="mailto:ensemble@thyssenkruppelevadores.com.br" TargetMode="External"/><Relationship Id="rId34" Type="http://schemas.openxmlformats.org/officeDocument/2006/relationships/hyperlink" Target="mailto:ensemble@thyssenkruppelevadores.com.br" TargetMode="External"/><Relationship Id="rId7" Type="http://schemas.openxmlformats.org/officeDocument/2006/relationships/hyperlink" Target="mailto:ensemble@thyssenkruppelevadores.com.br" TargetMode="External"/><Relationship Id="rId12" Type="http://schemas.openxmlformats.org/officeDocument/2006/relationships/hyperlink" Target="mailto:ensemble@thyssenkruppelevadores.com.br" TargetMode="External"/><Relationship Id="rId17" Type="http://schemas.openxmlformats.org/officeDocument/2006/relationships/hyperlink" Target="https://tke.service-now.com/sc_task.do?sys_id=ca60916dfb5d07906f08fcbaaeefdc5a&amp;sysparm_record_target=sc_task&amp;sysparm_record_row=2&amp;sysparm_record_rows=4&amp;sysparm_record_list=request_item%3D98112d0c2be0871c715bf1c3d891bf67%5EORDERBYDESCopened_at" TargetMode="External"/><Relationship Id="rId25" Type="http://schemas.openxmlformats.org/officeDocument/2006/relationships/hyperlink" Target="mailto:ensemble@thyssenkruppelevadores.com.br" TargetMode="External"/><Relationship Id="rId33" Type="http://schemas.openxmlformats.org/officeDocument/2006/relationships/hyperlink" Target="mailto:ensemble@thyssenkruppelevadores.com.br" TargetMode="External"/><Relationship Id="rId38" Type="http://schemas.openxmlformats.org/officeDocument/2006/relationships/hyperlink" Target="mailto:ensemble@thyssenkruppelevadores.com.br" TargetMode="External"/><Relationship Id="rId2" Type="http://schemas.openxmlformats.org/officeDocument/2006/relationships/hyperlink" Target="mailto:ensemble@thyssenkruppelevadores.com.br" TargetMode="External"/><Relationship Id="rId16" Type="http://schemas.openxmlformats.org/officeDocument/2006/relationships/hyperlink" Target="mailto:ensemble@thyssenkruppelevadores.com.br" TargetMode="External"/><Relationship Id="rId20" Type="http://schemas.openxmlformats.org/officeDocument/2006/relationships/hyperlink" Target="mailto:ensemble@thyssenkruppelevadores.com.br" TargetMode="External"/><Relationship Id="rId29" Type="http://schemas.openxmlformats.org/officeDocument/2006/relationships/hyperlink" Target="mailto:ensemble@thyssenkruppelevadores.com.br" TargetMode="External"/><Relationship Id="rId1" Type="http://schemas.openxmlformats.org/officeDocument/2006/relationships/hyperlink" Target="mailto:ensemble@thyssenkruppelevadores.com.br" TargetMode="External"/><Relationship Id="rId6" Type="http://schemas.openxmlformats.org/officeDocument/2006/relationships/hyperlink" Target="mailto:ensemble@thyssenkruppelevadores.com.br" TargetMode="External"/><Relationship Id="rId11" Type="http://schemas.openxmlformats.org/officeDocument/2006/relationships/hyperlink" Target="https://tke.service-now.com/sc_task.do?sys_id=8b622018fb99cb1079faf027aeefdc36&amp;sysparm_record_target=sc_task&amp;sysparm_record_row=1&amp;sysparm_record_rows=1&amp;sysparm_record_list=request_item%3D7262ecd4fb99cb1079faf027aeefdc69%5EORDERBYDESCopened_at" TargetMode="External"/><Relationship Id="rId24" Type="http://schemas.openxmlformats.org/officeDocument/2006/relationships/hyperlink" Target="mailto:ensemble@thyssenkruppelevadores.com.br" TargetMode="External"/><Relationship Id="rId32" Type="http://schemas.openxmlformats.org/officeDocument/2006/relationships/hyperlink" Target="mailto:ensemble@thyssenkruppelevadores.com.br" TargetMode="External"/><Relationship Id="rId37" Type="http://schemas.openxmlformats.org/officeDocument/2006/relationships/hyperlink" Target="mailto:ensemble@thyssenkruppelevadores.com.br" TargetMode="External"/><Relationship Id="rId40" Type="http://schemas.openxmlformats.org/officeDocument/2006/relationships/hyperlink" Target="mailto:ensemble@thyssenkruppelevadores.com.br" TargetMode="External"/><Relationship Id="rId5" Type="http://schemas.openxmlformats.org/officeDocument/2006/relationships/hyperlink" Target="mailto:ensemble@thyssenkruppelevadores.com.br" TargetMode="External"/><Relationship Id="rId15" Type="http://schemas.openxmlformats.org/officeDocument/2006/relationships/hyperlink" Target="mailto:ensemble@thyssenkruppelevadores.com.br" TargetMode="External"/><Relationship Id="rId23" Type="http://schemas.openxmlformats.org/officeDocument/2006/relationships/hyperlink" Target="mailto:ensemble@thyssenkruppelevadores.com.br" TargetMode="External"/><Relationship Id="rId28" Type="http://schemas.openxmlformats.org/officeDocument/2006/relationships/hyperlink" Target="mailto:ensemble@thyssenkruppelevadores.com.br" TargetMode="External"/><Relationship Id="rId36" Type="http://schemas.openxmlformats.org/officeDocument/2006/relationships/hyperlink" Target="mailto:ensemble@thyssenkruppelevadores.com.br" TargetMode="External"/><Relationship Id="rId10" Type="http://schemas.openxmlformats.org/officeDocument/2006/relationships/hyperlink" Target="mailto:ensemble@thyssenkruppelevadores.com.br" TargetMode="External"/><Relationship Id="rId19" Type="http://schemas.openxmlformats.org/officeDocument/2006/relationships/hyperlink" Target="mailto:ensemble@thyssenkruppelevadores.com.br" TargetMode="External"/><Relationship Id="rId31" Type="http://schemas.openxmlformats.org/officeDocument/2006/relationships/hyperlink" Target="mailto:ensemble@thyssenkruppelevadores.com.br" TargetMode="External"/><Relationship Id="rId4" Type="http://schemas.openxmlformats.org/officeDocument/2006/relationships/hyperlink" Target="mailto:ensemble@thyssenkruppelevadores.com.br" TargetMode="External"/><Relationship Id="rId9" Type="http://schemas.openxmlformats.org/officeDocument/2006/relationships/hyperlink" Target="mailto:ensemble@thyssenkruppelevadores.com.br" TargetMode="External"/><Relationship Id="rId14" Type="http://schemas.openxmlformats.org/officeDocument/2006/relationships/hyperlink" Target="mailto:ensemble@thyssenkruppelevadores.com.br" TargetMode="External"/><Relationship Id="rId22" Type="http://schemas.openxmlformats.org/officeDocument/2006/relationships/hyperlink" Target="mailto:ensemble@thyssenkruppelevadores.com.br" TargetMode="External"/><Relationship Id="rId27" Type="http://schemas.openxmlformats.org/officeDocument/2006/relationships/hyperlink" Target="mailto:ensemble@thyssenkruppelevadores.com.br" TargetMode="External"/><Relationship Id="rId30" Type="http://schemas.openxmlformats.org/officeDocument/2006/relationships/hyperlink" Target="mailto:ensemble@thyssenkruppelevadores.com.br" TargetMode="External"/><Relationship Id="rId35" Type="http://schemas.openxmlformats.org/officeDocument/2006/relationships/hyperlink" Target="mailto:ensemble@thyssenkruppelevadores.com.br" TargetMode="External"/><Relationship Id="rId8" Type="http://schemas.openxmlformats.org/officeDocument/2006/relationships/hyperlink" Target="mailto:ensemble@thyssenkruppelevadores.com.br" TargetMode="External"/><Relationship Id="rId3" Type="http://schemas.openxmlformats.org/officeDocument/2006/relationships/hyperlink" Target="mailto:ensemble@thyssenkruppelevadores.com.b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8"/>
  <sheetViews>
    <sheetView showGridLines="0" topLeftCell="L1" workbookViewId="0">
      <pane ySplit="1" topLeftCell="A8" activePane="bottomLeft" state="frozen"/>
      <selection pane="bottomLeft" activeCell="Z42" sqref="Z42"/>
    </sheetView>
  </sheetViews>
  <sheetFormatPr defaultColWidth="9.140625" defaultRowHeight="15" customHeight="1" x14ac:dyDescent="0.25"/>
  <cols>
    <col min="1" max="1" width="9.85546875" bestFit="1" customWidth="1"/>
    <col min="2" max="2" width="11.140625" style="5" bestFit="1" customWidth="1"/>
    <col min="3" max="3" width="15" bestFit="1" customWidth="1"/>
    <col min="4" max="4" width="15.7109375" bestFit="1" customWidth="1"/>
    <col min="5" max="5" width="12" bestFit="1" customWidth="1"/>
    <col min="6" max="6" width="9.42578125" customWidth="1"/>
    <col min="7" max="7" width="10.140625" bestFit="1" customWidth="1"/>
    <col min="8" max="8" width="23.28515625" bestFit="1" customWidth="1"/>
    <col min="9" max="9" width="37" bestFit="1" customWidth="1"/>
    <col min="10" max="10" width="21.140625" bestFit="1" customWidth="1"/>
    <col min="11" max="11" width="40.7109375" bestFit="1" customWidth="1"/>
    <col min="12" max="12" width="24.7109375" customWidth="1"/>
    <col min="13" max="13" width="45.28515625" customWidth="1"/>
    <col min="14" max="14" width="39.7109375" customWidth="1"/>
    <col min="15" max="16" width="32.7109375" customWidth="1"/>
    <col min="17" max="17" width="17.7109375" bestFit="1" customWidth="1"/>
    <col min="18" max="18" width="29.85546875" customWidth="1"/>
    <col min="19" max="19" width="13.7109375" style="7" customWidth="1"/>
    <col min="20" max="20" width="13.7109375" style="6" customWidth="1"/>
    <col min="21" max="23" width="13.7109375" customWidth="1"/>
    <col min="24" max="24" width="1.7109375" customWidth="1"/>
    <col min="25" max="26" width="13.7109375" style="9" customWidth="1"/>
    <col min="27" max="27" width="10.85546875" style="9" bestFit="1" customWidth="1"/>
    <col min="28" max="28" width="1.7109375" customWidth="1"/>
    <col min="29" max="29" width="12" style="9" customWidth="1"/>
    <col min="30" max="30" width="4.85546875" style="9" bestFit="1" customWidth="1"/>
    <col min="31" max="32" width="10" hidden="1" customWidth="1"/>
    <col min="33" max="33" width="6.28515625" hidden="1" customWidth="1"/>
    <col min="34" max="35" width="10" hidden="1" customWidth="1"/>
    <col min="36" max="36" width="6.28515625" hidden="1" customWidth="1"/>
    <col min="37" max="38" width="10" hidden="1" customWidth="1"/>
    <col min="39" max="39" width="10.85546875" hidden="1" customWidth="1"/>
    <col min="40" max="40" width="4.28515625" hidden="1" customWidth="1"/>
    <col min="41" max="46" width="0" hidden="1"/>
  </cols>
  <sheetData>
    <row r="1" spans="1:46" s="4" customFormat="1" ht="15" customHeight="1" x14ac:dyDescent="0.25">
      <c r="A1" s="57" t="s">
        <v>0</v>
      </c>
      <c r="B1" s="58" t="s">
        <v>1</v>
      </c>
      <c r="C1" s="57" t="s">
        <v>2</v>
      </c>
      <c r="D1" s="57" t="s">
        <v>3</v>
      </c>
      <c r="E1" s="15" t="s">
        <v>4</v>
      </c>
      <c r="F1" s="59" t="s">
        <v>5</v>
      </c>
      <c r="G1" s="57" t="s">
        <v>6</v>
      </c>
      <c r="H1" s="57" t="s">
        <v>7</v>
      </c>
      <c r="I1" s="57" t="s">
        <v>8</v>
      </c>
      <c r="J1" s="57" t="s">
        <v>9</v>
      </c>
      <c r="K1" s="57" t="s">
        <v>10</v>
      </c>
      <c r="L1" s="60" t="s">
        <v>11</v>
      </c>
      <c r="M1" s="60" t="s">
        <v>12</v>
      </c>
      <c r="N1" s="57" t="s">
        <v>13</v>
      </c>
      <c r="O1" s="60" t="s">
        <v>14</v>
      </c>
      <c r="P1" s="57" t="s">
        <v>15</v>
      </c>
      <c r="Q1" s="57" t="s">
        <v>16</v>
      </c>
      <c r="R1" s="15" t="s">
        <v>17</v>
      </c>
      <c r="S1" s="15" t="s">
        <v>18</v>
      </c>
      <c r="T1" s="15" t="s">
        <v>19</v>
      </c>
      <c r="U1" s="15" t="s">
        <v>20</v>
      </c>
      <c r="V1" s="15" t="s">
        <v>21</v>
      </c>
      <c r="W1" s="15" t="s">
        <v>22</v>
      </c>
      <c r="X1" s="85" t="s">
        <v>23</v>
      </c>
      <c r="Y1" s="86"/>
      <c r="Z1" s="86"/>
      <c r="AA1" s="86"/>
      <c r="AB1" s="87"/>
      <c r="AC1" s="16" t="s">
        <v>24</v>
      </c>
      <c r="AD1" s="16" t="s">
        <v>7</v>
      </c>
      <c r="AE1" s="12" t="str">
        <f>Parâmetros!$J3</f>
        <v>BL</v>
      </c>
      <c r="AF1" s="12" t="str">
        <f>Parâmetros!$J4</f>
        <v>CR</v>
      </c>
      <c r="AG1" s="12" t="str">
        <f>Parâmetros!$J5</f>
        <v>MP</v>
      </c>
      <c r="AH1" s="12" t="str">
        <f>Parâmetros!$J3</f>
        <v>BL</v>
      </c>
      <c r="AI1" s="12" t="str">
        <f>Parâmetros!$J4</f>
        <v>CR</v>
      </c>
      <c r="AJ1" s="12" t="str">
        <f>Parâmetros!$J5</f>
        <v>MP</v>
      </c>
      <c r="AK1" s="12" t="str">
        <f>Parâmetros!$J3</f>
        <v>BL</v>
      </c>
      <c r="AL1" s="12" t="str">
        <f>Parâmetros!$J4</f>
        <v>CR</v>
      </c>
      <c r="AM1" s="12" t="str">
        <f>Parâmetros!$J5</f>
        <v>MP</v>
      </c>
    </row>
    <row r="2" spans="1:46" s="4" customFormat="1" ht="15" customHeight="1" x14ac:dyDescent="0.25">
      <c r="A2" s="17" t="str">
        <f t="shared" ref="A2:A20" si="0">UPPER(LEFT(I2, 3))</f>
        <v>ENS</v>
      </c>
      <c r="B2" s="18" t="s">
        <v>25</v>
      </c>
      <c r="C2" s="19">
        <v>0</v>
      </c>
      <c r="D2" s="19">
        <v>0</v>
      </c>
      <c r="E2" s="20"/>
      <c r="F2" s="21">
        <v>0</v>
      </c>
      <c r="G2" s="19" t="s">
        <v>26</v>
      </c>
      <c r="H2" s="19" t="s">
        <v>27</v>
      </c>
      <c r="I2" s="22" t="s">
        <v>28</v>
      </c>
      <c r="J2" s="23" t="s">
        <v>29</v>
      </c>
      <c r="K2" s="19" t="str">
        <f>_xlfn.XLOOKUP(Planilha!$J2,Tabela9[Pessoas],Tabela9[UUID Jira])</f>
        <v>712020:8364b9cf-88a2-4399-9f86-fff7bed77ce2</v>
      </c>
      <c r="L2" s="24" t="s">
        <v>30</v>
      </c>
      <c r="M2" s="19" t="str">
        <f>_xlfn.XLOOKUP(Planilha!$L2,Tabela9[Pessoas],Tabela9[UUID Jira])</f>
        <v>712020:4a0c9d58-dbcd-4acf-b9ef-a74bff31dc8e</v>
      </c>
      <c r="N2" s="19" t="s">
        <v>31</v>
      </c>
      <c r="O2" s="19" t="s">
        <v>31</v>
      </c>
      <c r="P2" s="19" t="s">
        <v>31</v>
      </c>
      <c r="Q2" s="19" t="s">
        <v>32</v>
      </c>
      <c r="R2" s="19" t="s">
        <v>31</v>
      </c>
      <c r="S2" s="25">
        <v>10</v>
      </c>
      <c r="T2" s="26">
        <f>_xlfn.XLOOKUP(S2,Tabela4[Horas],Tabela4[Pontos],,1)</f>
        <v>1</v>
      </c>
      <c r="U2" s="19" t="s">
        <v>33</v>
      </c>
      <c r="V2" s="19" t="s">
        <v>34</v>
      </c>
      <c r="W2" s="19" t="s">
        <v>35</v>
      </c>
      <c r="X2" s="61"/>
      <c r="Y2" s="62" t="str">
        <f t="shared" ref="Y2:AA3" si="1">HYPERLINK("https://tkebrasil.atlassian.net/browse/" &amp; U2,U2)</f>
        <v>ENS-10640</v>
      </c>
      <c r="Z2" s="62" t="str">
        <f t="shared" si="1"/>
        <v>ENS-10973</v>
      </c>
      <c r="AA2" s="62" t="str">
        <f t="shared" si="1"/>
        <v>ENS-10974</v>
      </c>
      <c r="AB2" s="61"/>
      <c r="AC2" s="27" t="s">
        <v>36</v>
      </c>
      <c r="AD2" s="27" t="s">
        <v>37</v>
      </c>
      <c r="AE2" s="4" t="b">
        <f t="shared" ref="AE2:AG3" si="2">IF($AD2=AE$1,$U2)</f>
        <v>0</v>
      </c>
      <c r="AF2" s="4" t="str">
        <f t="shared" si="2"/>
        <v>ENS-10640</v>
      </c>
      <c r="AG2" s="4" t="b">
        <f t="shared" si="2"/>
        <v>0</v>
      </c>
      <c r="AH2" s="4" t="b">
        <f t="shared" ref="AH2:AJ3" si="3">IF($AD2=AH$1,$V2)</f>
        <v>0</v>
      </c>
      <c r="AI2" s="4" t="str">
        <f t="shared" si="3"/>
        <v>ENS-10973</v>
      </c>
      <c r="AJ2" s="4" t="b">
        <f t="shared" si="3"/>
        <v>0</v>
      </c>
      <c r="AK2" s="4" t="b">
        <f t="shared" ref="AK2:AM3" si="4">IF($AD2=AK$1,$W2)</f>
        <v>0</v>
      </c>
      <c r="AL2" s="4" t="str">
        <f t="shared" si="4"/>
        <v>ENS-10974</v>
      </c>
      <c r="AM2" s="4" t="b">
        <f t="shared" si="4"/>
        <v>0</v>
      </c>
      <c r="AN2" s="4" t="str">
        <f>IF(C2=0,"O","C")</f>
        <v>O</v>
      </c>
      <c r="AO2" s="4">
        <f>IF(AND(AD2=Parâmetros!$J$3,AN2="C"),S2,0)</f>
        <v>0</v>
      </c>
      <c r="AP2" s="4">
        <f>IF(AND(AD2=Parâmetros!$J$3,AN2="O"),S2,0)</f>
        <v>0</v>
      </c>
      <c r="AQ2" s="4">
        <f>IF(AND(AD2=Parâmetros!$J$4,AN2="C"),S2,0)</f>
        <v>0</v>
      </c>
      <c r="AR2" s="4">
        <f>IF(AND(AD2=Parâmetros!$J$4,AN2="O"),S2,0)</f>
        <v>10</v>
      </c>
      <c r="AS2" s="4">
        <f>IF(AND(AD2=Parâmetros!$J$5,AN2="C"),S2,0)</f>
        <v>0</v>
      </c>
      <c r="AT2" s="4">
        <f>IF(AND(AD2=Parâmetros!$J$5,AN2="O"),S2,0)</f>
        <v>0</v>
      </c>
    </row>
    <row r="3" spans="1:46" s="4" customFormat="1" ht="15" customHeight="1" x14ac:dyDescent="0.25">
      <c r="A3" s="17" t="str">
        <f t="shared" si="0"/>
        <v>ENS</v>
      </c>
      <c r="B3" s="18" t="s">
        <v>25</v>
      </c>
      <c r="C3" s="19" t="s">
        <v>38</v>
      </c>
      <c r="D3" s="19" t="s">
        <v>39</v>
      </c>
      <c r="E3" s="20"/>
      <c r="F3" s="21">
        <v>0</v>
      </c>
      <c r="G3" s="19" t="s">
        <v>26</v>
      </c>
      <c r="H3" s="19" t="s">
        <v>40</v>
      </c>
      <c r="I3" s="22" t="s">
        <v>28</v>
      </c>
      <c r="J3" s="23" t="s">
        <v>29</v>
      </c>
      <c r="K3" s="19" t="str">
        <f>_xlfn.XLOOKUP(Planilha!$J3,Tabela9[Pessoas],Tabela9[UUID Jira])</f>
        <v>712020:8364b9cf-88a2-4399-9f86-fff7bed77ce2</v>
      </c>
      <c r="L3" s="24" t="s">
        <v>41</v>
      </c>
      <c r="M3" s="19" t="str">
        <f>_xlfn.XLOOKUP(Planilha!$L3,Tabela9[Pessoas],Tabela9[UUID Jira])</f>
        <v>712020:4d5b2de5-c33f-44cb-8545-f17228d08baf</v>
      </c>
      <c r="N3" s="19" t="s">
        <v>42</v>
      </c>
      <c r="O3" s="19" t="s">
        <v>43</v>
      </c>
      <c r="P3" s="19" t="s">
        <v>43</v>
      </c>
      <c r="Q3" s="19" t="s">
        <v>32</v>
      </c>
      <c r="R3" s="19" t="s">
        <v>43</v>
      </c>
      <c r="S3" s="25">
        <v>2</v>
      </c>
      <c r="T3" s="26">
        <f>_xlfn.XLOOKUP(S3,Tabela4[Horas],Tabela4[Pontos],,1)</f>
        <v>0.5</v>
      </c>
      <c r="U3" s="19" t="s">
        <v>44</v>
      </c>
      <c r="V3" s="19" t="s">
        <v>45</v>
      </c>
      <c r="W3" s="19" t="s">
        <v>46</v>
      </c>
      <c r="X3" s="61"/>
      <c r="Y3" s="62" t="str">
        <f t="shared" si="1"/>
        <v>ENS-10725</v>
      </c>
      <c r="Z3" s="62" t="str">
        <f t="shared" si="1"/>
        <v>ENS-10975</v>
      </c>
      <c r="AA3" s="62" t="str">
        <f t="shared" si="1"/>
        <v>ENS-10976</v>
      </c>
      <c r="AB3" s="61"/>
      <c r="AC3" s="27" t="s">
        <v>36</v>
      </c>
      <c r="AD3" s="27" t="s">
        <v>47</v>
      </c>
      <c r="AE3" s="4" t="b">
        <f t="shared" si="2"/>
        <v>0</v>
      </c>
      <c r="AF3" s="4" t="b">
        <f t="shared" si="2"/>
        <v>0</v>
      </c>
      <c r="AG3" s="4" t="str">
        <f t="shared" si="2"/>
        <v>ENS-10725</v>
      </c>
      <c r="AH3" s="4" t="b">
        <f t="shared" si="3"/>
        <v>0</v>
      </c>
      <c r="AI3" s="4" t="b">
        <f t="shared" si="3"/>
        <v>0</v>
      </c>
      <c r="AJ3" s="4" t="str">
        <f t="shared" si="3"/>
        <v>ENS-10975</v>
      </c>
      <c r="AK3" s="4" t="b">
        <f t="shared" si="4"/>
        <v>0</v>
      </c>
      <c r="AL3" s="4" t="b">
        <f t="shared" si="4"/>
        <v>0</v>
      </c>
      <c r="AM3" s="4" t="str">
        <f t="shared" si="4"/>
        <v>ENS-10976</v>
      </c>
      <c r="AN3" s="4" t="str">
        <f>IF(C3=0,"O","C")</f>
        <v>C</v>
      </c>
      <c r="AO3" s="4">
        <f>IF(AND(AD3=Parâmetros!$J$3,AN3="C"),S3,0)</f>
        <v>0</v>
      </c>
      <c r="AP3" s="4">
        <f>IF(AND(AD3=Parâmetros!$J$3,AN3="O"),S3,0)</f>
        <v>0</v>
      </c>
      <c r="AQ3" s="4">
        <f>IF(AND(AD3=Parâmetros!$J$4,AN3="C"),S3,0)</f>
        <v>0</v>
      </c>
      <c r="AR3" s="4">
        <f>IF(AND(AD3=Parâmetros!$J$4,AN3="O"),S3,0)</f>
        <v>0</v>
      </c>
      <c r="AS3" s="4">
        <f>IF(AND(AD3=Parâmetros!$J$5,AN3="C"),S3,0)</f>
        <v>2</v>
      </c>
      <c r="AT3" s="4">
        <f>IF(AND(AD3=Parâmetros!$J$5,AN3="O"),S3,0)</f>
        <v>0</v>
      </c>
    </row>
    <row r="4" spans="1:46" s="4" customFormat="1" ht="15" customHeight="1" x14ac:dyDescent="0.25">
      <c r="A4" s="17" t="str">
        <f t="shared" si="0"/>
        <v>ENS</v>
      </c>
      <c r="B4" s="18" t="s">
        <v>25</v>
      </c>
      <c r="C4" s="19">
        <v>0</v>
      </c>
      <c r="D4" s="19">
        <v>0</v>
      </c>
      <c r="E4" s="20"/>
      <c r="F4" s="21">
        <v>0</v>
      </c>
      <c r="G4" s="19" t="s">
        <v>26</v>
      </c>
      <c r="H4" s="19" t="s">
        <v>40</v>
      </c>
      <c r="I4" s="22" t="s">
        <v>28</v>
      </c>
      <c r="J4" s="23" t="s">
        <v>29</v>
      </c>
      <c r="K4" s="19" t="str">
        <f>_xlfn.XLOOKUP(Planilha!$J4,Tabela9[Pessoas],Tabela9[UUID Jira])</f>
        <v>712020:8364b9cf-88a2-4399-9f86-fff7bed77ce2</v>
      </c>
      <c r="L4" s="24" t="s">
        <v>41</v>
      </c>
      <c r="M4" s="19" t="str">
        <f>_xlfn.XLOOKUP(Planilha!$L4,Tabela9[Pessoas],Tabela9[UUID Jira])</f>
        <v>712020:4d5b2de5-c33f-44cb-8545-f17228d08baf</v>
      </c>
      <c r="N4" s="19" t="s">
        <v>48</v>
      </c>
      <c r="O4" s="19" t="s">
        <v>48</v>
      </c>
      <c r="P4" s="19" t="s">
        <v>48</v>
      </c>
      <c r="Q4" s="19" t="s">
        <v>32</v>
      </c>
      <c r="R4" s="19" t="s">
        <v>48</v>
      </c>
      <c r="S4" s="25">
        <v>10</v>
      </c>
      <c r="T4" s="26">
        <f>_xlfn.XLOOKUP(S4,Tabela4[Horas],Tabela4[Pontos],,1)</f>
        <v>1</v>
      </c>
      <c r="U4" s="19" t="s">
        <v>49</v>
      </c>
      <c r="V4" s="19" t="s">
        <v>50</v>
      </c>
      <c r="W4" s="19" t="s">
        <v>51</v>
      </c>
      <c r="X4" s="61"/>
      <c r="Y4" s="62"/>
      <c r="Z4" s="62"/>
      <c r="AA4" s="62"/>
      <c r="AB4" s="61"/>
      <c r="AC4" s="27" t="s">
        <v>36</v>
      </c>
      <c r="AD4" s="27" t="s">
        <v>37</v>
      </c>
    </row>
    <row r="5" spans="1:46" s="4" customFormat="1" ht="15" customHeight="1" x14ac:dyDescent="0.25">
      <c r="A5" s="17" t="str">
        <f t="shared" si="0"/>
        <v>ENS</v>
      </c>
      <c r="B5" s="18" t="s">
        <v>25</v>
      </c>
      <c r="C5" s="19" t="s">
        <v>52</v>
      </c>
      <c r="D5" s="19" t="s">
        <v>52</v>
      </c>
      <c r="E5" s="20"/>
      <c r="F5" s="21">
        <v>0</v>
      </c>
      <c r="G5" s="19" t="s">
        <v>26</v>
      </c>
      <c r="H5" s="19" t="s">
        <v>40</v>
      </c>
      <c r="I5" s="22" t="s">
        <v>28</v>
      </c>
      <c r="J5" s="23" t="s">
        <v>29</v>
      </c>
      <c r="K5" s="19" t="str">
        <f>_xlfn.XLOOKUP(Planilha!$J5,Tabela9[Pessoas],Tabela9[UUID Jira])</f>
        <v>712020:8364b9cf-88a2-4399-9f86-fff7bed77ce2</v>
      </c>
      <c r="L5" s="24" t="s">
        <v>41</v>
      </c>
      <c r="M5" s="19" t="str">
        <f>_xlfn.XLOOKUP(Planilha!$L5,Tabela9[Pessoas],Tabela9[UUID Jira])</f>
        <v>712020:4d5b2de5-c33f-44cb-8545-f17228d08baf</v>
      </c>
      <c r="N5" s="19" t="s">
        <v>53</v>
      </c>
      <c r="O5" s="19" t="s">
        <v>53</v>
      </c>
      <c r="P5" s="19" t="s">
        <v>53</v>
      </c>
      <c r="Q5" s="19" t="s">
        <v>32</v>
      </c>
      <c r="R5" s="19" t="s">
        <v>52</v>
      </c>
      <c r="S5" s="25">
        <v>3</v>
      </c>
      <c r="T5" s="26">
        <f>_xlfn.XLOOKUP(S5,Tabela4[Horas],Tabela4[Pontos],,1)</f>
        <v>0.5</v>
      </c>
      <c r="U5" s="19" t="s">
        <v>54</v>
      </c>
      <c r="V5" s="19" t="s">
        <v>55</v>
      </c>
      <c r="W5" s="19" t="s">
        <v>56</v>
      </c>
      <c r="X5" s="61"/>
      <c r="Y5" s="62" t="str">
        <f t="shared" ref="Y5:Y25" si="5">HYPERLINK("https://tkebrasil.atlassian.net/browse/" &amp; U5,U5)</f>
        <v>ENS-10844</v>
      </c>
      <c r="Z5" s="62" t="str">
        <f t="shared" ref="Z5:Z25" si="6">HYPERLINK("https://tkebrasil.atlassian.net/browse/" &amp; V5,V5)</f>
        <v>ENS-10980</v>
      </c>
      <c r="AA5" s="62" t="str">
        <f t="shared" ref="AA5:AA25" si="7">HYPERLINK("https://tkebrasil.atlassian.net/browse/" &amp; W5,W5)</f>
        <v>ENS-10981</v>
      </c>
      <c r="AB5" s="61"/>
      <c r="AC5" s="27" t="s">
        <v>36</v>
      </c>
      <c r="AD5" s="27" t="s">
        <v>37</v>
      </c>
      <c r="AE5" s="4" t="b">
        <f t="shared" ref="AE5:AG25" si="8">IF($AD5=AE$1,$U5)</f>
        <v>0</v>
      </c>
      <c r="AF5" s="4" t="str">
        <f t="shared" si="8"/>
        <v>ENS-10844</v>
      </c>
      <c r="AG5" s="4" t="b">
        <f t="shared" si="8"/>
        <v>0</v>
      </c>
      <c r="AH5" s="4" t="b">
        <f t="shared" ref="AH5:AJ25" si="9">IF($AD5=AH$1,$V5)</f>
        <v>0</v>
      </c>
      <c r="AI5" s="4" t="str">
        <f t="shared" si="9"/>
        <v>ENS-10980</v>
      </c>
      <c r="AJ5" s="4" t="b">
        <f t="shared" si="9"/>
        <v>0</v>
      </c>
      <c r="AK5" s="4" t="b">
        <f t="shared" ref="AK5:AM25" si="10">IF($AD5=AK$1,$W5)</f>
        <v>0</v>
      </c>
      <c r="AL5" s="4" t="str">
        <f t="shared" si="10"/>
        <v>ENS-10981</v>
      </c>
      <c r="AM5" s="4" t="b">
        <f t="shared" si="10"/>
        <v>0</v>
      </c>
      <c r="AN5" s="4" t="str">
        <f t="shared" ref="AN5:AN25" si="11">IF(C5=0,"O","C")</f>
        <v>C</v>
      </c>
      <c r="AO5" s="4">
        <f>IF(AND(AD5=Parâmetros!$J$3,AN5="C"),S5,0)</f>
        <v>0</v>
      </c>
      <c r="AP5" s="4">
        <f>IF(AND(AD5=Parâmetros!$J$3,AN5="O"),S5,0)</f>
        <v>0</v>
      </c>
      <c r="AQ5" s="4">
        <f>IF(AND(AD5=Parâmetros!$J$4,AN5="C"),S5,0)</f>
        <v>3</v>
      </c>
      <c r="AR5" s="4">
        <f>IF(AND(AD5=Parâmetros!$J$4,AN5="O"),S5,0)</f>
        <v>0</v>
      </c>
      <c r="AS5" s="4">
        <f>IF(AND(AD5=Parâmetros!$J$5,AN5="C"),S5,0)</f>
        <v>0</v>
      </c>
      <c r="AT5" s="4">
        <f>IF(AND(AD5=Parâmetros!$J$5,AN5="O"),S5,0)</f>
        <v>0</v>
      </c>
    </row>
    <row r="6" spans="1:46" s="4" customFormat="1" ht="15" customHeight="1" x14ac:dyDescent="0.25">
      <c r="A6" s="28" t="str">
        <f t="shared" si="0"/>
        <v>ENS</v>
      </c>
      <c r="B6" s="83" t="s">
        <v>25</v>
      </c>
      <c r="C6" s="11">
        <v>0</v>
      </c>
      <c r="D6" s="11">
        <v>0</v>
      </c>
      <c r="E6" s="29"/>
      <c r="F6" s="30">
        <v>0</v>
      </c>
      <c r="G6" s="11" t="s">
        <v>26</v>
      </c>
      <c r="H6" s="11" t="s">
        <v>27</v>
      </c>
      <c r="I6" s="31" t="s">
        <v>28</v>
      </c>
      <c r="J6" s="32" t="s">
        <v>29</v>
      </c>
      <c r="K6" s="11" t="str">
        <f>_xlfn.XLOOKUP(Planilha!$J6,Tabela9[Pessoas],Tabela9[UUID Jira])</f>
        <v>712020:8364b9cf-88a2-4399-9f86-fff7bed77ce2</v>
      </c>
      <c r="L6" s="11" t="s">
        <v>57</v>
      </c>
      <c r="M6" s="11" t="str">
        <f>_xlfn.XLOOKUP(Planilha!$L6,Tabela9[Pessoas],Tabela9[UUID Jira])</f>
        <v>557058:43e80a76-deba-4dd8-b64d-c7c8e99c6312</v>
      </c>
      <c r="N6" s="11" t="s">
        <v>58</v>
      </c>
      <c r="O6" s="11" t="s">
        <v>58</v>
      </c>
      <c r="P6" s="11" t="s">
        <v>58</v>
      </c>
      <c r="Q6" s="11" t="s">
        <v>32</v>
      </c>
      <c r="R6" s="11" t="s">
        <v>58</v>
      </c>
      <c r="S6" s="10">
        <v>10</v>
      </c>
      <c r="T6" s="11">
        <f>_xlfn.XLOOKUP(S6,Tabela4[Horas],Tabela4[Pontos],,1)</f>
        <v>1</v>
      </c>
      <c r="U6" s="11" t="s">
        <v>59</v>
      </c>
      <c r="V6" s="11" t="s">
        <v>60</v>
      </c>
      <c r="W6" s="11" t="s">
        <v>61</v>
      </c>
      <c r="X6" s="61"/>
      <c r="Y6" s="43" t="str">
        <f t="shared" si="5"/>
        <v>ENS-8159</v>
      </c>
      <c r="Z6" s="43" t="str">
        <f t="shared" si="6"/>
        <v>ENS-10982</v>
      </c>
      <c r="AA6" s="43" t="str">
        <f t="shared" si="7"/>
        <v>ENS-10983</v>
      </c>
      <c r="AB6" s="61"/>
      <c r="AC6" s="34" t="s">
        <v>36</v>
      </c>
      <c r="AD6" s="34" t="s">
        <v>62</v>
      </c>
      <c r="AE6" s="4" t="str">
        <f t="shared" si="8"/>
        <v>ENS-8159</v>
      </c>
      <c r="AF6" s="4" t="b">
        <f t="shared" si="8"/>
        <v>0</v>
      </c>
      <c r="AG6" s="4" t="b">
        <f t="shared" si="8"/>
        <v>0</v>
      </c>
      <c r="AH6" s="4" t="str">
        <f t="shared" si="9"/>
        <v>ENS-10982</v>
      </c>
      <c r="AI6" s="4" t="b">
        <f t="shared" si="9"/>
        <v>0</v>
      </c>
      <c r="AJ6" s="4" t="b">
        <f t="shared" si="9"/>
        <v>0</v>
      </c>
      <c r="AK6" s="4" t="str">
        <f t="shared" si="10"/>
        <v>ENS-10983</v>
      </c>
      <c r="AL6" s="4" t="b">
        <f t="shared" si="10"/>
        <v>0</v>
      </c>
      <c r="AM6" s="4" t="b">
        <f t="shared" si="10"/>
        <v>0</v>
      </c>
      <c r="AN6" s="4" t="str">
        <f t="shared" si="11"/>
        <v>O</v>
      </c>
      <c r="AO6" s="4">
        <f>IF(AND(AD6=Parâmetros!$J$3,AN6="C"),S6,0)</f>
        <v>0</v>
      </c>
      <c r="AP6" s="4">
        <f>IF(AND(AD6=Parâmetros!$J$3,AN6="O"),S6,0)</f>
        <v>10</v>
      </c>
      <c r="AQ6" s="4">
        <f>IF(AND(AD6=Parâmetros!$J$4,AN6="C"),S6,0)</f>
        <v>0</v>
      </c>
      <c r="AR6" s="4">
        <f>IF(AND(AD6=Parâmetros!$J$4,AN6="O"),S6,0)</f>
        <v>0</v>
      </c>
      <c r="AS6" s="4">
        <f>IF(AND(AD6=Parâmetros!$J$5,AN6="C"),S6,0)</f>
        <v>0</v>
      </c>
      <c r="AT6" s="4">
        <f>IF(AND(AD6=Parâmetros!$J$5,AN6="O"),S6,0)</f>
        <v>0</v>
      </c>
    </row>
    <row r="7" spans="1:46" ht="15" customHeight="1" x14ac:dyDescent="0.25">
      <c r="A7" s="28" t="str">
        <f t="shared" si="0"/>
        <v>ENS</v>
      </c>
      <c r="B7" s="83" t="s">
        <v>25</v>
      </c>
      <c r="C7" s="28" t="s">
        <v>63</v>
      </c>
      <c r="D7" s="11" t="s">
        <v>64</v>
      </c>
      <c r="E7" s="35"/>
      <c r="F7" s="35">
        <v>0</v>
      </c>
      <c r="G7" s="11" t="s">
        <v>26</v>
      </c>
      <c r="H7" s="32" t="s">
        <v>40</v>
      </c>
      <c r="I7" s="31" t="s">
        <v>28</v>
      </c>
      <c r="J7" s="32" t="s">
        <v>29</v>
      </c>
      <c r="K7" s="11" t="str">
        <f>_xlfn.XLOOKUP(Planilha!$J7,Tabela9[Pessoas],Tabela9[UUID Jira])</f>
        <v>712020:8364b9cf-88a2-4399-9f86-fff7bed77ce2</v>
      </c>
      <c r="L7" s="32" t="s">
        <v>65</v>
      </c>
      <c r="M7" s="11" t="str">
        <f>_xlfn.XLOOKUP(Planilha!$L7,Tabela9[Pessoas],Tabela9[UUID Jira])</f>
        <v>557058:004709f9-0a88-4979-a875-f58ca3985cf7</v>
      </c>
      <c r="N7" s="11" t="s">
        <v>66</v>
      </c>
      <c r="O7" s="11" t="s">
        <v>66</v>
      </c>
      <c r="P7" s="11" t="s">
        <v>66</v>
      </c>
      <c r="Q7" s="32" t="s">
        <v>67</v>
      </c>
      <c r="R7" s="38" t="s">
        <v>68</v>
      </c>
      <c r="S7" s="33">
        <v>4</v>
      </c>
      <c r="T7" s="11">
        <f>_xlfn.XLOOKUP(S7,Tabela4[Horas],Tabela4[Pontos],,1)</f>
        <v>0.5</v>
      </c>
      <c r="U7" s="11" t="s">
        <v>69</v>
      </c>
      <c r="V7" s="11" t="s">
        <v>70</v>
      </c>
      <c r="W7" s="11" t="s">
        <v>71</v>
      </c>
      <c r="X7" s="61"/>
      <c r="Y7" s="43" t="str">
        <f t="shared" si="5"/>
        <v>ENS-8908</v>
      </c>
      <c r="Z7" s="43" t="str">
        <f t="shared" si="6"/>
        <v>ENS-10984</v>
      </c>
      <c r="AA7" s="43" t="str">
        <f t="shared" si="7"/>
        <v>ENS-10985</v>
      </c>
      <c r="AB7" s="42"/>
      <c r="AC7" s="37" t="s">
        <v>36</v>
      </c>
      <c r="AD7" s="37" t="s">
        <v>62</v>
      </c>
      <c r="AE7" s="4" t="str">
        <f t="shared" si="8"/>
        <v>ENS-8908</v>
      </c>
      <c r="AF7" s="4" t="b">
        <f t="shared" si="8"/>
        <v>0</v>
      </c>
      <c r="AG7" s="4" t="b">
        <f t="shared" si="8"/>
        <v>0</v>
      </c>
      <c r="AH7" s="4" t="str">
        <f t="shared" si="9"/>
        <v>ENS-10984</v>
      </c>
      <c r="AI7" s="4" t="b">
        <f t="shared" si="9"/>
        <v>0</v>
      </c>
      <c r="AJ7" s="4" t="b">
        <f t="shared" si="9"/>
        <v>0</v>
      </c>
      <c r="AK7" s="4" t="str">
        <f t="shared" si="10"/>
        <v>ENS-10985</v>
      </c>
      <c r="AL7" s="4" t="b">
        <f t="shared" si="10"/>
        <v>0</v>
      </c>
      <c r="AM7" s="4" t="b">
        <f t="shared" si="10"/>
        <v>0</v>
      </c>
      <c r="AN7" s="4" t="str">
        <f t="shared" si="11"/>
        <v>C</v>
      </c>
      <c r="AO7" s="4">
        <f>IF(AND(AD7=Parâmetros!$J$3,AN7="C"),S7,0)</f>
        <v>4</v>
      </c>
      <c r="AP7" s="4">
        <f>IF(AND(AD7=Parâmetros!$J$3,AN7="O"),S7,0)</f>
        <v>0</v>
      </c>
      <c r="AQ7" s="4">
        <f>IF(AND(AD7=Parâmetros!$J$4,AN7="C"),S7,0)</f>
        <v>0</v>
      </c>
      <c r="AR7" s="4">
        <f>IF(AND(AD7=Parâmetros!$J$4,AN7="O"),S7,0)</f>
        <v>0</v>
      </c>
      <c r="AS7" s="4">
        <f>IF(AND(AD7=Parâmetros!$J$5,AN7="C"),S7,0)</f>
        <v>0</v>
      </c>
      <c r="AT7" s="4">
        <f>IF(AND(AD7=Parâmetros!$J$5,AN7="O"),S7,0)</f>
        <v>0</v>
      </c>
    </row>
    <row r="8" spans="1:46" ht="15" customHeight="1" x14ac:dyDescent="0.25">
      <c r="A8" s="28" t="str">
        <f t="shared" si="0"/>
        <v>ENS</v>
      </c>
      <c r="B8" s="83" t="s">
        <v>25</v>
      </c>
      <c r="C8" s="11">
        <v>0</v>
      </c>
      <c r="D8" s="11">
        <v>0</v>
      </c>
      <c r="E8" s="11"/>
      <c r="F8" s="11">
        <v>0</v>
      </c>
      <c r="G8" s="11" t="s">
        <v>26</v>
      </c>
      <c r="H8" s="32" t="s">
        <v>40</v>
      </c>
      <c r="I8" s="31" t="s">
        <v>28</v>
      </c>
      <c r="J8" s="32" t="s">
        <v>29</v>
      </c>
      <c r="K8" s="11" t="str">
        <f>_xlfn.XLOOKUP(Planilha!$J8,Tabela9[Pessoas],Tabela9[UUID Jira])</f>
        <v>712020:8364b9cf-88a2-4399-9f86-fff7bed77ce2</v>
      </c>
      <c r="L8" s="32" t="s">
        <v>57</v>
      </c>
      <c r="M8" s="11" t="str">
        <f>_xlfn.XLOOKUP(Planilha!$L8,Tabela9[Pessoas],Tabela9[UUID Jira])</f>
        <v>557058:43e80a76-deba-4dd8-b64d-c7c8e99c6312</v>
      </c>
      <c r="N8" s="11" t="s">
        <v>72</v>
      </c>
      <c r="O8" s="11" t="s">
        <v>73</v>
      </c>
      <c r="P8" s="11" t="s">
        <v>73</v>
      </c>
      <c r="Q8" s="11" t="s">
        <v>32</v>
      </c>
      <c r="R8" s="36" t="s">
        <v>74</v>
      </c>
      <c r="S8" s="10">
        <v>2</v>
      </c>
      <c r="T8" s="11">
        <f>_xlfn.XLOOKUP(S8,Tabela4[Horas],Tabela4[Pontos],,1)</f>
        <v>0.5</v>
      </c>
      <c r="U8" s="11" t="s">
        <v>75</v>
      </c>
      <c r="V8" s="11" t="s">
        <v>76</v>
      </c>
      <c r="W8" s="11" t="s">
        <v>77</v>
      </c>
      <c r="X8" s="42"/>
      <c r="Y8" s="43" t="str">
        <f t="shared" si="5"/>
        <v>ENS-9944</v>
      </c>
      <c r="Z8" s="43" t="str">
        <f t="shared" si="6"/>
        <v>ENS-10986</v>
      </c>
      <c r="AA8" s="43" t="str">
        <f t="shared" si="7"/>
        <v>ENS-10987</v>
      </c>
      <c r="AB8" s="42"/>
      <c r="AC8" s="37" t="s">
        <v>36</v>
      </c>
      <c r="AD8" s="37" t="s">
        <v>62</v>
      </c>
      <c r="AE8" s="4" t="str">
        <f t="shared" si="8"/>
        <v>ENS-9944</v>
      </c>
      <c r="AF8" s="4" t="b">
        <f t="shared" si="8"/>
        <v>0</v>
      </c>
      <c r="AG8" s="4" t="b">
        <f t="shared" si="8"/>
        <v>0</v>
      </c>
      <c r="AH8" s="4" t="str">
        <f t="shared" si="9"/>
        <v>ENS-10986</v>
      </c>
      <c r="AI8" s="4" t="b">
        <f t="shared" si="9"/>
        <v>0</v>
      </c>
      <c r="AJ8" s="4" t="b">
        <f t="shared" si="9"/>
        <v>0</v>
      </c>
      <c r="AK8" s="4" t="str">
        <f t="shared" si="10"/>
        <v>ENS-10987</v>
      </c>
      <c r="AL8" s="4" t="b">
        <f t="shared" si="10"/>
        <v>0</v>
      </c>
      <c r="AM8" s="4" t="b">
        <f t="shared" si="10"/>
        <v>0</v>
      </c>
      <c r="AN8" s="4" t="str">
        <f t="shared" si="11"/>
        <v>O</v>
      </c>
      <c r="AO8" s="4">
        <f>IF(AND(AD8=Parâmetros!$J$3,AN8="C"),S8,0)</f>
        <v>0</v>
      </c>
      <c r="AP8" s="4">
        <f>IF(AND(AD8=Parâmetros!$J$3,AN8="O"),S8,0)</f>
        <v>2</v>
      </c>
      <c r="AQ8" s="4">
        <f>IF(AND(AD8=Parâmetros!$J$4,AN8="C"),S8,0)</f>
        <v>0</v>
      </c>
      <c r="AR8" s="4">
        <f>IF(AND(AD8=Parâmetros!$J$4,AN8="O"),S8,0)</f>
        <v>0</v>
      </c>
      <c r="AS8" s="4">
        <f>IF(AND(AD8=Parâmetros!$J$5,AN8="C"),S8,0)</f>
        <v>0</v>
      </c>
      <c r="AT8" s="4">
        <f>IF(AND(AD8=Parâmetros!$J$5,AN8="O"),S8,0)</f>
        <v>0</v>
      </c>
    </row>
    <row r="9" spans="1:46" ht="15" customHeight="1" x14ac:dyDescent="0.25">
      <c r="A9" s="28" t="str">
        <f t="shared" si="0"/>
        <v>ENS</v>
      </c>
      <c r="B9" s="83" t="s">
        <v>25</v>
      </c>
      <c r="C9" s="11">
        <v>0</v>
      </c>
      <c r="D9" s="11">
        <v>0</v>
      </c>
      <c r="E9" s="11"/>
      <c r="F9" s="11">
        <v>0</v>
      </c>
      <c r="G9" s="11" t="s">
        <v>26</v>
      </c>
      <c r="H9" s="32" t="s">
        <v>40</v>
      </c>
      <c r="I9" s="31" t="s">
        <v>28</v>
      </c>
      <c r="J9" s="32" t="s">
        <v>29</v>
      </c>
      <c r="K9" s="11" t="str">
        <f>_xlfn.XLOOKUP(Planilha!$J9,Tabela9[Pessoas],Tabela9[UUID Jira])</f>
        <v>712020:8364b9cf-88a2-4399-9f86-fff7bed77ce2</v>
      </c>
      <c r="L9" s="32" t="s">
        <v>78</v>
      </c>
      <c r="M9" s="11" t="str">
        <f>_xlfn.XLOOKUP(Planilha!$L9,Tabela9[Pessoas],Tabela9[UUID Jira])</f>
        <v>557058:330c824e-66ab-4df0-b7eb-8ddf9d578a4e</v>
      </c>
      <c r="N9" s="11" t="s">
        <v>72</v>
      </c>
      <c r="O9" s="11" t="s">
        <v>79</v>
      </c>
      <c r="P9" s="11" t="s">
        <v>79</v>
      </c>
      <c r="Q9" s="11" t="s">
        <v>32</v>
      </c>
      <c r="R9" s="36" t="s">
        <v>74</v>
      </c>
      <c r="S9" s="10">
        <v>2</v>
      </c>
      <c r="T9" s="11">
        <f>_xlfn.XLOOKUP(S9,Tabela4[Horas],Tabela4[Pontos],,1)</f>
        <v>0.5</v>
      </c>
      <c r="U9" s="11" t="s">
        <v>75</v>
      </c>
      <c r="V9" s="11" t="s">
        <v>80</v>
      </c>
      <c r="W9" s="11" t="s">
        <v>81</v>
      </c>
      <c r="X9" s="42"/>
      <c r="Y9" s="43" t="str">
        <f t="shared" si="5"/>
        <v>ENS-9944</v>
      </c>
      <c r="Z9" s="43" t="str">
        <f t="shared" si="6"/>
        <v>ENS-10988</v>
      </c>
      <c r="AA9" s="43" t="str">
        <f t="shared" si="7"/>
        <v>ENS-10989</v>
      </c>
      <c r="AB9" s="42"/>
      <c r="AC9" s="37" t="s">
        <v>36</v>
      </c>
      <c r="AD9" s="37" t="s">
        <v>62</v>
      </c>
      <c r="AE9" s="4" t="str">
        <f t="shared" si="8"/>
        <v>ENS-9944</v>
      </c>
      <c r="AF9" s="4" t="b">
        <f t="shared" si="8"/>
        <v>0</v>
      </c>
      <c r="AG9" s="4" t="b">
        <f t="shared" si="8"/>
        <v>0</v>
      </c>
      <c r="AH9" s="4" t="str">
        <f t="shared" si="9"/>
        <v>ENS-10988</v>
      </c>
      <c r="AI9" s="4" t="b">
        <f t="shared" si="9"/>
        <v>0</v>
      </c>
      <c r="AJ9" s="4" t="b">
        <f t="shared" si="9"/>
        <v>0</v>
      </c>
      <c r="AK9" s="4" t="str">
        <f t="shared" si="10"/>
        <v>ENS-10989</v>
      </c>
      <c r="AL9" s="4" t="b">
        <f t="shared" si="10"/>
        <v>0</v>
      </c>
      <c r="AM9" s="4" t="b">
        <f t="shared" si="10"/>
        <v>0</v>
      </c>
      <c r="AN9" s="4" t="str">
        <f t="shared" si="11"/>
        <v>O</v>
      </c>
      <c r="AO9" s="4">
        <f>IF(AND(AD9=Parâmetros!$J$3,AN9="C"),S9,0)</f>
        <v>0</v>
      </c>
      <c r="AP9" s="4">
        <f>IF(AND(AD9=Parâmetros!$J$3,AN9="O"),S9,0)</f>
        <v>2</v>
      </c>
      <c r="AQ9" s="4">
        <f>IF(AND(AD9=Parâmetros!$J$4,AN9="C"),S9,0)</f>
        <v>0</v>
      </c>
      <c r="AR9" s="4">
        <f>IF(AND(AD9=Parâmetros!$J$4,AN9="O"),S9,0)</f>
        <v>0</v>
      </c>
      <c r="AS9" s="4">
        <f>IF(AND(AD9=Parâmetros!$J$5,AN9="C"),S9,0)</f>
        <v>0</v>
      </c>
      <c r="AT9" s="4">
        <f>IF(AND(AD9=Parâmetros!$J$5,AN9="O"),S9,0)</f>
        <v>0</v>
      </c>
    </row>
    <row r="10" spans="1:46" ht="15" customHeight="1" x14ac:dyDescent="0.25">
      <c r="A10" s="28" t="str">
        <f t="shared" si="0"/>
        <v>ENS</v>
      </c>
      <c r="B10" s="83" t="s">
        <v>25</v>
      </c>
      <c r="C10" s="11">
        <v>0</v>
      </c>
      <c r="D10" s="11">
        <v>0</v>
      </c>
      <c r="E10" s="11"/>
      <c r="F10" s="11">
        <v>0</v>
      </c>
      <c r="G10" s="11" t="s">
        <v>26</v>
      </c>
      <c r="H10" s="32" t="s">
        <v>40</v>
      </c>
      <c r="I10" s="31" t="s">
        <v>28</v>
      </c>
      <c r="J10" s="32" t="s">
        <v>29</v>
      </c>
      <c r="K10" s="11" t="str">
        <f>_xlfn.XLOOKUP(Planilha!$J10,Tabela9[Pessoas],Tabela9[UUID Jira])</f>
        <v>712020:8364b9cf-88a2-4399-9f86-fff7bed77ce2</v>
      </c>
      <c r="L10" s="32" t="s">
        <v>65</v>
      </c>
      <c r="M10" s="11" t="str">
        <f>_xlfn.XLOOKUP(Planilha!$L10,Tabela9[Pessoas],Tabela9[UUID Jira])</f>
        <v>557058:004709f9-0a88-4979-a875-f58ca3985cf7</v>
      </c>
      <c r="N10" s="11" t="s">
        <v>72</v>
      </c>
      <c r="O10" s="11" t="s">
        <v>82</v>
      </c>
      <c r="P10" s="11" t="s">
        <v>82</v>
      </c>
      <c r="Q10" s="11" t="s">
        <v>32</v>
      </c>
      <c r="R10" s="36" t="s">
        <v>74</v>
      </c>
      <c r="S10" s="10">
        <v>10</v>
      </c>
      <c r="T10" s="11">
        <f>_xlfn.XLOOKUP(S10,Tabela4[Horas],Tabela4[Pontos],,1)</f>
        <v>1</v>
      </c>
      <c r="U10" s="11" t="s">
        <v>75</v>
      </c>
      <c r="V10" s="11" t="s">
        <v>83</v>
      </c>
      <c r="W10" s="11" t="s">
        <v>84</v>
      </c>
      <c r="X10" s="42"/>
      <c r="Y10" s="43" t="str">
        <f t="shared" si="5"/>
        <v>ENS-9944</v>
      </c>
      <c r="Z10" s="43" t="str">
        <f t="shared" si="6"/>
        <v>ENS-10990</v>
      </c>
      <c r="AA10" s="43" t="str">
        <f t="shared" si="7"/>
        <v>ENS-10991</v>
      </c>
      <c r="AB10" s="42"/>
      <c r="AC10" s="37" t="s">
        <v>36</v>
      </c>
      <c r="AD10" s="37" t="s">
        <v>62</v>
      </c>
      <c r="AE10" s="4" t="str">
        <f t="shared" si="8"/>
        <v>ENS-9944</v>
      </c>
      <c r="AF10" s="4" t="b">
        <f t="shared" si="8"/>
        <v>0</v>
      </c>
      <c r="AG10" s="4" t="b">
        <f t="shared" si="8"/>
        <v>0</v>
      </c>
      <c r="AH10" s="4" t="str">
        <f t="shared" si="9"/>
        <v>ENS-10990</v>
      </c>
      <c r="AI10" s="4" t="b">
        <f t="shared" si="9"/>
        <v>0</v>
      </c>
      <c r="AJ10" s="4" t="b">
        <f t="shared" si="9"/>
        <v>0</v>
      </c>
      <c r="AK10" s="4" t="str">
        <f t="shared" si="10"/>
        <v>ENS-10991</v>
      </c>
      <c r="AL10" s="4" t="b">
        <f t="shared" si="10"/>
        <v>0</v>
      </c>
      <c r="AM10" s="4" t="b">
        <f t="shared" si="10"/>
        <v>0</v>
      </c>
      <c r="AN10" s="4" t="str">
        <f t="shared" si="11"/>
        <v>O</v>
      </c>
      <c r="AO10" s="4">
        <f>IF(AND(AD10=Parâmetros!$J$3,AN10="C"),S10,0)</f>
        <v>0</v>
      </c>
      <c r="AP10" s="4">
        <f>IF(AND(AD10=Parâmetros!$J$3,AN10="O"),S10,0)</f>
        <v>10</v>
      </c>
      <c r="AQ10" s="4">
        <f>IF(AND(AD10=Parâmetros!$J$4,AN10="C"),S10,0)</f>
        <v>0</v>
      </c>
      <c r="AR10" s="4">
        <f>IF(AND(AD10=Parâmetros!$J$4,AN10="O"),S10,0)</f>
        <v>0</v>
      </c>
      <c r="AS10" s="4">
        <f>IF(AND(AD10=Parâmetros!$J$5,AN10="C"),S10,0)</f>
        <v>0</v>
      </c>
      <c r="AT10" s="4">
        <f>IF(AND(AD10=Parâmetros!$J$5,AN10="O"),S10,0)</f>
        <v>0</v>
      </c>
    </row>
    <row r="11" spans="1:46" ht="15" customHeight="1" x14ac:dyDescent="0.25">
      <c r="A11" s="28" t="str">
        <f t="shared" si="0"/>
        <v>ENS</v>
      </c>
      <c r="B11" s="83" t="s">
        <v>25</v>
      </c>
      <c r="C11" s="11" t="s">
        <v>85</v>
      </c>
      <c r="D11" s="11" t="s">
        <v>85</v>
      </c>
      <c r="E11" s="11"/>
      <c r="F11" s="11">
        <v>0</v>
      </c>
      <c r="G11" s="11" t="s">
        <v>26</v>
      </c>
      <c r="H11" s="32" t="s">
        <v>40</v>
      </c>
      <c r="I11" s="31" t="s">
        <v>28</v>
      </c>
      <c r="J11" s="32" t="s">
        <v>29</v>
      </c>
      <c r="K11" s="11" t="str">
        <f>_xlfn.XLOOKUP(Planilha!$J11,Tabela9[Pessoas],Tabela9[UUID Jira])</f>
        <v>712020:8364b9cf-88a2-4399-9f86-fff7bed77ce2</v>
      </c>
      <c r="L11" s="32" t="s">
        <v>78</v>
      </c>
      <c r="M11" s="11" t="str">
        <f>_xlfn.XLOOKUP(Planilha!$L11,Tabela9[Pessoas],Tabela9[UUID Jira])</f>
        <v>557058:330c824e-66ab-4df0-b7eb-8ddf9d578a4e</v>
      </c>
      <c r="N11" s="11" t="s">
        <v>86</v>
      </c>
      <c r="O11" s="11" t="s">
        <v>86</v>
      </c>
      <c r="P11" s="11" t="s">
        <v>86</v>
      </c>
      <c r="Q11" s="32" t="s">
        <v>87</v>
      </c>
      <c r="R11" s="36" t="s">
        <v>88</v>
      </c>
      <c r="S11" s="10">
        <v>2</v>
      </c>
      <c r="T11" s="11">
        <f>_xlfn.XLOOKUP(S11,Tabela4[Horas],Tabela4[Pontos],,1)</f>
        <v>0.5</v>
      </c>
      <c r="U11" s="11" t="s">
        <v>89</v>
      </c>
      <c r="V11" s="11" t="s">
        <v>90</v>
      </c>
      <c r="W11" s="11" t="s">
        <v>91</v>
      </c>
      <c r="X11" s="42"/>
      <c r="Y11" s="43" t="str">
        <f t="shared" si="5"/>
        <v>ENS-9951</v>
      </c>
      <c r="Z11" s="43" t="str">
        <f t="shared" si="6"/>
        <v>ENS-10992</v>
      </c>
      <c r="AA11" s="43" t="str">
        <f t="shared" si="7"/>
        <v>ENS-10993</v>
      </c>
      <c r="AB11" s="42"/>
      <c r="AC11" s="37" t="s">
        <v>36</v>
      </c>
      <c r="AD11" s="37" t="s">
        <v>62</v>
      </c>
      <c r="AE11" s="4" t="str">
        <f t="shared" si="8"/>
        <v>ENS-9951</v>
      </c>
      <c r="AF11" s="4" t="b">
        <f t="shared" si="8"/>
        <v>0</v>
      </c>
      <c r="AG11" s="4" t="b">
        <f t="shared" si="8"/>
        <v>0</v>
      </c>
      <c r="AH11" s="4" t="str">
        <f t="shared" si="9"/>
        <v>ENS-10992</v>
      </c>
      <c r="AI11" s="4" t="b">
        <f t="shared" si="9"/>
        <v>0</v>
      </c>
      <c r="AJ11" s="4" t="b">
        <f t="shared" si="9"/>
        <v>0</v>
      </c>
      <c r="AK11" s="4" t="str">
        <f t="shared" si="10"/>
        <v>ENS-10993</v>
      </c>
      <c r="AL11" s="4" t="b">
        <f t="shared" si="10"/>
        <v>0</v>
      </c>
      <c r="AM11" s="4" t="b">
        <f t="shared" si="10"/>
        <v>0</v>
      </c>
      <c r="AN11" s="4" t="str">
        <f t="shared" si="11"/>
        <v>C</v>
      </c>
      <c r="AO11" s="4">
        <f>IF(AND(AD11=Parâmetros!$J$3,AN11="C"),S11,0)</f>
        <v>2</v>
      </c>
      <c r="AP11" s="4">
        <f>IF(AND(AD11=Parâmetros!$J$3,AN11="O"),S11,0)</f>
        <v>0</v>
      </c>
      <c r="AQ11" s="4">
        <f>IF(AND(AD11=Parâmetros!$J$4,AN11="C"),S11,0)</f>
        <v>0</v>
      </c>
      <c r="AR11" s="4">
        <f>IF(AND(AD11=Parâmetros!$J$4,AN11="O"),S11,0)</f>
        <v>0</v>
      </c>
      <c r="AS11" s="4">
        <f>IF(AND(AD11=Parâmetros!$J$5,AN11="C"),S11,0)</f>
        <v>0</v>
      </c>
      <c r="AT11" s="4">
        <f>IF(AND(AD11=Parâmetros!$J$5,AN11="O"),S11,0)</f>
        <v>0</v>
      </c>
    </row>
    <row r="12" spans="1:46" ht="15" customHeight="1" x14ac:dyDescent="0.25">
      <c r="A12" s="28" t="str">
        <f t="shared" si="0"/>
        <v>ENS</v>
      </c>
      <c r="B12" s="83" t="s">
        <v>25</v>
      </c>
      <c r="C12" s="11" t="s">
        <v>92</v>
      </c>
      <c r="D12" s="39" t="s">
        <v>93</v>
      </c>
      <c r="E12" s="11"/>
      <c r="F12" s="11">
        <v>0</v>
      </c>
      <c r="G12" s="11" t="s">
        <v>26</v>
      </c>
      <c r="H12" s="11" t="s">
        <v>27</v>
      </c>
      <c r="I12" s="31" t="s">
        <v>28</v>
      </c>
      <c r="J12" s="32" t="s">
        <v>29</v>
      </c>
      <c r="K12" s="11" t="str">
        <f>_xlfn.XLOOKUP(Planilha!$J12,Tabela9[Pessoas],Tabela9[UUID Jira])</f>
        <v>712020:8364b9cf-88a2-4399-9f86-fff7bed77ce2</v>
      </c>
      <c r="L12" s="32" t="s">
        <v>94</v>
      </c>
      <c r="M12" s="11" t="str">
        <f>_xlfn.XLOOKUP(Planilha!$L12,Tabela9[Pessoas],Tabela9[UUID Jira])</f>
        <v>6245e14af6a26900695d5c1c</v>
      </c>
      <c r="N12" s="11" t="s">
        <v>95</v>
      </c>
      <c r="O12" s="11" t="s">
        <v>95</v>
      </c>
      <c r="P12" s="11" t="s">
        <v>95</v>
      </c>
      <c r="Q12" s="32" t="s">
        <v>87</v>
      </c>
      <c r="R12" s="11" t="s">
        <v>96</v>
      </c>
      <c r="S12" s="10">
        <v>2</v>
      </c>
      <c r="T12" s="11">
        <f>_xlfn.XLOOKUP(S12,Tabela4[Horas],Tabela4[Pontos],,1)</f>
        <v>0.5</v>
      </c>
      <c r="U12" s="11" t="s">
        <v>97</v>
      </c>
      <c r="V12" s="11" t="s">
        <v>98</v>
      </c>
      <c r="W12" s="11" t="s">
        <v>99</v>
      </c>
      <c r="X12" s="42"/>
      <c r="Y12" s="82" t="str">
        <f t="shared" si="5"/>
        <v>ENS-9954</v>
      </c>
      <c r="Z12" s="82" t="str">
        <f t="shared" si="6"/>
        <v>ENS-10994</v>
      </c>
      <c r="AA12" s="82" t="str">
        <f t="shared" si="7"/>
        <v>ENS-10995</v>
      </c>
      <c r="AB12" s="42"/>
      <c r="AC12" s="44" t="s">
        <v>36</v>
      </c>
      <c r="AD12" s="44" t="s">
        <v>62</v>
      </c>
      <c r="AE12" s="4" t="str">
        <f t="shared" si="8"/>
        <v>ENS-9954</v>
      </c>
      <c r="AF12" s="4" t="b">
        <f t="shared" si="8"/>
        <v>0</v>
      </c>
      <c r="AG12" s="4" t="b">
        <f t="shared" si="8"/>
        <v>0</v>
      </c>
      <c r="AH12" s="4" t="str">
        <f t="shared" si="9"/>
        <v>ENS-10994</v>
      </c>
      <c r="AI12" s="4" t="b">
        <f t="shared" si="9"/>
        <v>0</v>
      </c>
      <c r="AJ12" s="4" t="b">
        <f t="shared" si="9"/>
        <v>0</v>
      </c>
      <c r="AK12" s="4" t="str">
        <f t="shared" si="10"/>
        <v>ENS-10995</v>
      </c>
      <c r="AL12" s="4" t="b">
        <f t="shared" si="10"/>
        <v>0</v>
      </c>
      <c r="AM12" s="4" t="b">
        <f t="shared" si="10"/>
        <v>0</v>
      </c>
      <c r="AN12" s="4" t="str">
        <f t="shared" si="11"/>
        <v>C</v>
      </c>
      <c r="AO12" s="4">
        <f>IF(AND(AD12=Parâmetros!$J$3,AN12="C"),S12,0)</f>
        <v>2</v>
      </c>
      <c r="AP12" s="4">
        <f>IF(AND(AD12=Parâmetros!$J$3,AN12="O"),S12,0)</f>
        <v>0</v>
      </c>
      <c r="AQ12" s="4">
        <f>IF(AND(AD12=Parâmetros!$J$4,AN12="C"),S12,0)</f>
        <v>0</v>
      </c>
      <c r="AR12" s="4">
        <f>IF(AND(AD12=Parâmetros!$J$4,AN12="O"),S12,0)</f>
        <v>0</v>
      </c>
      <c r="AS12" s="4">
        <f>IF(AND(AD12=Parâmetros!$J$5,AN12="C"),S12,0)</f>
        <v>0</v>
      </c>
      <c r="AT12" s="4">
        <f>IF(AND(AD12=Parâmetros!$J$5,AN12="O"),S12,0)</f>
        <v>0</v>
      </c>
    </row>
    <row r="13" spans="1:46" ht="15" customHeight="1" x14ac:dyDescent="0.25">
      <c r="A13" s="28" t="str">
        <f t="shared" si="0"/>
        <v>ENS</v>
      </c>
      <c r="B13" s="83" t="s">
        <v>25</v>
      </c>
      <c r="C13" s="28" t="s">
        <v>100</v>
      </c>
      <c r="D13" s="11" t="s">
        <v>101</v>
      </c>
      <c r="E13" s="35"/>
      <c r="F13" s="35">
        <v>0</v>
      </c>
      <c r="G13" s="11" t="s">
        <v>26</v>
      </c>
      <c r="H13" s="32" t="s">
        <v>27</v>
      </c>
      <c r="I13" s="31" t="s">
        <v>28</v>
      </c>
      <c r="J13" s="32" t="s">
        <v>29</v>
      </c>
      <c r="K13" s="11" t="str">
        <f>_xlfn.XLOOKUP(Planilha!$J13,Tabela9[Pessoas],Tabela9[UUID Jira])</f>
        <v>712020:8364b9cf-88a2-4399-9f86-fff7bed77ce2</v>
      </c>
      <c r="L13" s="11" t="s">
        <v>65</v>
      </c>
      <c r="M13" s="11" t="str">
        <f>_xlfn.XLOOKUP(Planilha!$L13,Tabela9[Pessoas],Tabela9[UUID Jira])</f>
        <v>557058:004709f9-0a88-4979-a875-f58ca3985cf7</v>
      </c>
      <c r="N13" s="11" t="s">
        <v>102</v>
      </c>
      <c r="O13" s="11" t="s">
        <v>102</v>
      </c>
      <c r="P13" s="11" t="s">
        <v>102</v>
      </c>
      <c r="Q13" s="32" t="s">
        <v>87</v>
      </c>
      <c r="R13" s="36" t="s">
        <v>103</v>
      </c>
      <c r="S13" s="10">
        <v>2</v>
      </c>
      <c r="T13" s="11">
        <f>_xlfn.XLOOKUP(S13,Tabela4[Horas],Tabela4[Pontos],,1)</f>
        <v>0.5</v>
      </c>
      <c r="U13" s="11" t="s">
        <v>104</v>
      </c>
      <c r="V13" s="11" t="s">
        <v>105</v>
      </c>
      <c r="W13" s="11" t="s">
        <v>106</v>
      </c>
      <c r="X13" s="42"/>
      <c r="Y13" s="43" t="str">
        <f t="shared" si="5"/>
        <v>ENS-9957</v>
      </c>
      <c r="Z13" s="43" t="str">
        <f t="shared" si="6"/>
        <v>ENS-10996</v>
      </c>
      <c r="AA13" s="43" t="str">
        <f t="shared" si="7"/>
        <v>ENS-10997</v>
      </c>
      <c r="AB13" s="42"/>
      <c r="AC13" s="37" t="s">
        <v>36</v>
      </c>
      <c r="AD13" s="37" t="s">
        <v>62</v>
      </c>
      <c r="AE13" s="4" t="str">
        <f t="shared" si="8"/>
        <v>ENS-9957</v>
      </c>
      <c r="AF13" s="4" t="b">
        <f t="shared" si="8"/>
        <v>0</v>
      </c>
      <c r="AG13" s="4" t="b">
        <f t="shared" si="8"/>
        <v>0</v>
      </c>
      <c r="AH13" s="4" t="str">
        <f t="shared" si="9"/>
        <v>ENS-10996</v>
      </c>
      <c r="AI13" s="4" t="b">
        <f t="shared" si="9"/>
        <v>0</v>
      </c>
      <c r="AJ13" s="4" t="b">
        <f t="shared" si="9"/>
        <v>0</v>
      </c>
      <c r="AK13" s="4" t="str">
        <f t="shared" si="10"/>
        <v>ENS-10997</v>
      </c>
      <c r="AL13" s="4" t="b">
        <f t="shared" si="10"/>
        <v>0</v>
      </c>
      <c r="AM13" s="4" t="b">
        <f t="shared" si="10"/>
        <v>0</v>
      </c>
      <c r="AN13" s="4" t="str">
        <f t="shared" si="11"/>
        <v>C</v>
      </c>
      <c r="AO13" s="4">
        <f>IF(AND(AD13=Parâmetros!$J$3,AN13="C"),S13,0)</f>
        <v>2</v>
      </c>
      <c r="AP13" s="4">
        <f>IF(AND(AD13=Parâmetros!$J$3,AN13="O"),S13,0)</f>
        <v>0</v>
      </c>
      <c r="AQ13" s="4">
        <f>IF(AND(AD13=Parâmetros!$J$4,AN13="C"),S13,0)</f>
        <v>0</v>
      </c>
      <c r="AR13" s="4">
        <f>IF(AND(AD13=Parâmetros!$J$4,AN13="O"),S13,0)</f>
        <v>0</v>
      </c>
      <c r="AS13" s="4">
        <f>IF(AND(AD13=Parâmetros!$J$5,AN13="C"),S13,0)</f>
        <v>0</v>
      </c>
      <c r="AT13" s="4">
        <f>IF(AND(AD13=Parâmetros!$J$5,AN13="O"),S13,0)</f>
        <v>0</v>
      </c>
    </row>
    <row r="14" spans="1:46" ht="15" customHeight="1" x14ac:dyDescent="0.25">
      <c r="A14" s="28" t="str">
        <f t="shared" si="0"/>
        <v>ENS</v>
      </c>
      <c r="B14" s="83" t="s">
        <v>25</v>
      </c>
      <c r="C14" s="11" t="s">
        <v>107</v>
      </c>
      <c r="D14" s="11" t="s">
        <v>108</v>
      </c>
      <c r="E14" s="11"/>
      <c r="F14" s="11">
        <v>0</v>
      </c>
      <c r="G14" s="11" t="s">
        <v>26</v>
      </c>
      <c r="H14" s="32" t="s">
        <v>40</v>
      </c>
      <c r="I14" s="31" t="s">
        <v>28</v>
      </c>
      <c r="J14" s="32" t="s">
        <v>29</v>
      </c>
      <c r="K14" s="11" t="str">
        <f>_xlfn.XLOOKUP(Planilha!$J14,Tabela9[Pessoas],Tabela9[UUID Jira])</f>
        <v>712020:8364b9cf-88a2-4399-9f86-fff7bed77ce2</v>
      </c>
      <c r="L14" s="32" t="s">
        <v>94</v>
      </c>
      <c r="M14" s="11" t="str">
        <f>_xlfn.XLOOKUP(Planilha!$L14,Tabela9[Pessoas],Tabela9[UUID Jira])</f>
        <v>6245e14af6a26900695d5c1c</v>
      </c>
      <c r="N14" s="11" t="s">
        <v>109</v>
      </c>
      <c r="O14" s="11" t="s">
        <v>109</v>
      </c>
      <c r="P14" s="11" t="s">
        <v>109</v>
      </c>
      <c r="Q14" s="32" t="s">
        <v>87</v>
      </c>
      <c r="R14" s="36" t="s">
        <v>110</v>
      </c>
      <c r="S14" s="10">
        <v>2</v>
      </c>
      <c r="T14" s="11">
        <f>_xlfn.XLOOKUP(S14,Tabela4[Horas],Tabela4[Pontos],,1)</f>
        <v>0.5</v>
      </c>
      <c r="U14" s="11" t="s">
        <v>111</v>
      </c>
      <c r="V14" s="11" t="s">
        <v>112</v>
      </c>
      <c r="W14" s="11" t="s">
        <v>113</v>
      </c>
      <c r="X14" s="42"/>
      <c r="Y14" s="43" t="str">
        <f t="shared" si="5"/>
        <v>ENS-10442</v>
      </c>
      <c r="Z14" s="43" t="str">
        <f t="shared" si="6"/>
        <v>ENS-10998</v>
      </c>
      <c r="AA14" s="43" t="str">
        <f t="shared" si="7"/>
        <v>ENS-10999</v>
      </c>
      <c r="AB14" s="42"/>
      <c r="AC14" s="37" t="s">
        <v>36</v>
      </c>
      <c r="AD14" s="37" t="s">
        <v>62</v>
      </c>
      <c r="AE14" s="4" t="str">
        <f t="shared" si="8"/>
        <v>ENS-10442</v>
      </c>
      <c r="AF14" s="4" t="b">
        <f t="shared" si="8"/>
        <v>0</v>
      </c>
      <c r="AG14" s="4" t="b">
        <f t="shared" si="8"/>
        <v>0</v>
      </c>
      <c r="AH14" s="4" t="str">
        <f t="shared" si="9"/>
        <v>ENS-10998</v>
      </c>
      <c r="AI14" s="4" t="b">
        <f t="shared" si="9"/>
        <v>0</v>
      </c>
      <c r="AJ14" s="4" t="b">
        <f t="shared" si="9"/>
        <v>0</v>
      </c>
      <c r="AK14" s="4" t="str">
        <f t="shared" si="10"/>
        <v>ENS-10999</v>
      </c>
      <c r="AL14" s="4" t="b">
        <f t="shared" si="10"/>
        <v>0</v>
      </c>
      <c r="AM14" s="4" t="b">
        <f t="shared" si="10"/>
        <v>0</v>
      </c>
      <c r="AN14" s="4" t="str">
        <f t="shared" si="11"/>
        <v>C</v>
      </c>
      <c r="AO14" s="4">
        <f>IF(AND(AD14=Parâmetros!$J$3,AN14="C"),S14,0)</f>
        <v>2</v>
      </c>
      <c r="AP14" s="4">
        <f>IF(AND(AD14=Parâmetros!$J$3,AN14="O"),S14,0)</f>
        <v>0</v>
      </c>
      <c r="AQ14" s="4">
        <f>IF(AND(AD14=Parâmetros!$J$4,AN14="C"),S14,0)</f>
        <v>0</v>
      </c>
      <c r="AR14" s="4">
        <f>IF(AND(AD14=Parâmetros!$J$4,AN14="O"),S14,0)</f>
        <v>0</v>
      </c>
      <c r="AS14" s="4">
        <f>IF(AND(AD14=Parâmetros!$J$5,AN14="C"),S14,0)</f>
        <v>0</v>
      </c>
      <c r="AT14" s="4">
        <f>IF(AND(AD14=Parâmetros!$J$5,AN14="O"),S14,0)</f>
        <v>0</v>
      </c>
    </row>
    <row r="15" spans="1:46" ht="15" customHeight="1" x14ac:dyDescent="0.25">
      <c r="A15" s="28" t="str">
        <f t="shared" si="0"/>
        <v>ENS</v>
      </c>
      <c r="B15" s="83" t="s">
        <v>25</v>
      </c>
      <c r="C15" s="11" t="s">
        <v>114</v>
      </c>
      <c r="D15" s="11" t="s">
        <v>115</v>
      </c>
      <c r="E15" s="11"/>
      <c r="F15" s="11">
        <v>0</v>
      </c>
      <c r="G15" s="11" t="s">
        <v>26</v>
      </c>
      <c r="H15" s="32" t="s">
        <v>40</v>
      </c>
      <c r="I15" s="31" t="s">
        <v>28</v>
      </c>
      <c r="J15" s="32" t="s">
        <v>29</v>
      </c>
      <c r="K15" s="11" t="str">
        <f>_xlfn.XLOOKUP(Planilha!$J15,Tabela9[Pessoas],Tabela9[UUID Jira])</f>
        <v>712020:8364b9cf-88a2-4399-9f86-fff7bed77ce2</v>
      </c>
      <c r="L15" s="32" t="s">
        <v>78</v>
      </c>
      <c r="M15" s="11" t="str">
        <f>_xlfn.XLOOKUP(Planilha!$L15,Tabela9[Pessoas],Tabela9[UUID Jira])</f>
        <v>557058:330c824e-66ab-4df0-b7eb-8ddf9d578a4e</v>
      </c>
      <c r="N15" s="11" t="s">
        <v>116</v>
      </c>
      <c r="O15" s="11" t="s">
        <v>116</v>
      </c>
      <c r="P15" s="11" t="s">
        <v>116</v>
      </c>
      <c r="Q15" s="32" t="s">
        <v>87</v>
      </c>
      <c r="R15" s="36" t="s">
        <v>110</v>
      </c>
      <c r="S15" s="10">
        <v>4</v>
      </c>
      <c r="T15" s="11">
        <f>_xlfn.XLOOKUP(S15,Tabela4[Horas],Tabela4[Pontos],,1)</f>
        <v>0.5</v>
      </c>
      <c r="U15" s="11" t="s">
        <v>117</v>
      </c>
      <c r="V15" s="11" t="s">
        <v>118</v>
      </c>
      <c r="W15" s="11" t="s">
        <v>119</v>
      </c>
      <c r="X15" s="42"/>
      <c r="Y15" s="43" t="str">
        <f t="shared" si="5"/>
        <v>ENS-10362</v>
      </c>
      <c r="Z15" s="43" t="str">
        <f t="shared" si="6"/>
        <v>ENS-11000</v>
      </c>
      <c r="AA15" s="43" t="str">
        <f t="shared" si="7"/>
        <v>ENS-11001</v>
      </c>
      <c r="AB15" s="42"/>
      <c r="AC15" s="37" t="s">
        <v>36</v>
      </c>
      <c r="AD15" s="37" t="s">
        <v>62</v>
      </c>
      <c r="AE15" s="4" t="str">
        <f t="shared" si="8"/>
        <v>ENS-10362</v>
      </c>
      <c r="AF15" s="4" t="b">
        <f t="shared" si="8"/>
        <v>0</v>
      </c>
      <c r="AG15" s="4" t="b">
        <f t="shared" si="8"/>
        <v>0</v>
      </c>
      <c r="AH15" s="4" t="str">
        <f t="shared" si="9"/>
        <v>ENS-11000</v>
      </c>
      <c r="AI15" s="4" t="b">
        <f t="shared" si="9"/>
        <v>0</v>
      </c>
      <c r="AJ15" s="4" t="b">
        <f t="shared" si="9"/>
        <v>0</v>
      </c>
      <c r="AK15" s="4" t="str">
        <f t="shared" si="10"/>
        <v>ENS-11001</v>
      </c>
      <c r="AL15" s="4" t="b">
        <f t="shared" si="10"/>
        <v>0</v>
      </c>
      <c r="AM15" s="4" t="b">
        <f t="shared" si="10"/>
        <v>0</v>
      </c>
      <c r="AN15" s="4" t="str">
        <f t="shared" si="11"/>
        <v>C</v>
      </c>
      <c r="AO15" s="4">
        <f>IF(AND(AD15=Parâmetros!$J$3,AN15="C"),S15,0)</f>
        <v>4</v>
      </c>
      <c r="AP15" s="4">
        <f>IF(AND(AD15=Parâmetros!$J$3,AN15="O"),S15,0)</f>
        <v>0</v>
      </c>
      <c r="AQ15" s="4">
        <f>IF(AND(AD15=Parâmetros!$J$4,AN15="C"),S15,0)</f>
        <v>0</v>
      </c>
      <c r="AR15" s="4">
        <f>IF(AND(AD15=Parâmetros!$J$4,AN15="O"),S15,0)</f>
        <v>0</v>
      </c>
      <c r="AS15" s="4">
        <f>IF(AND(AD15=Parâmetros!$J$5,AN15="C"),S15,0)</f>
        <v>0</v>
      </c>
      <c r="AT15" s="4">
        <f>IF(AND(AD15=Parâmetros!$J$5,AN15="O"),S15,0)</f>
        <v>0</v>
      </c>
    </row>
    <row r="16" spans="1:46" ht="15" customHeight="1" x14ac:dyDescent="0.25">
      <c r="A16" s="28" t="str">
        <f t="shared" si="0"/>
        <v>ENS</v>
      </c>
      <c r="B16" s="83" t="s">
        <v>25</v>
      </c>
      <c r="C16" s="11" t="s">
        <v>120</v>
      </c>
      <c r="D16" s="39" t="s">
        <v>121</v>
      </c>
      <c r="E16" s="11"/>
      <c r="F16" s="11">
        <v>0</v>
      </c>
      <c r="G16" s="11" t="s">
        <v>26</v>
      </c>
      <c r="H16" s="32" t="s">
        <v>40</v>
      </c>
      <c r="I16" s="31" t="s">
        <v>28</v>
      </c>
      <c r="J16" s="32" t="s">
        <v>29</v>
      </c>
      <c r="K16" s="11" t="str">
        <f>_xlfn.XLOOKUP(Planilha!$J16,Tabela9[Pessoas],Tabela9[UUID Jira])</f>
        <v>712020:8364b9cf-88a2-4399-9f86-fff7bed77ce2</v>
      </c>
      <c r="L16" s="32" t="s">
        <v>65</v>
      </c>
      <c r="M16" s="11" t="str">
        <f>_xlfn.XLOOKUP(Planilha!$L16,Tabela9[Pessoas],Tabela9[UUID Jira])</f>
        <v>557058:004709f9-0a88-4979-a875-f58ca3985cf7</v>
      </c>
      <c r="N16" s="11" t="s">
        <v>122</v>
      </c>
      <c r="O16" s="11" t="s">
        <v>122</v>
      </c>
      <c r="P16" s="40" t="s">
        <v>122</v>
      </c>
      <c r="Q16" s="32" t="s">
        <v>87</v>
      </c>
      <c r="R16" s="36" t="s">
        <v>123</v>
      </c>
      <c r="S16" s="10">
        <v>2</v>
      </c>
      <c r="T16" s="11">
        <f>_xlfn.XLOOKUP(S16,Tabela4[Horas],Tabela4[Pontos],,1)</f>
        <v>0.5</v>
      </c>
      <c r="U16" s="11" t="s">
        <v>124</v>
      </c>
      <c r="V16" s="11" t="s">
        <v>125</v>
      </c>
      <c r="W16" s="11" t="s">
        <v>126</v>
      </c>
      <c r="X16" s="42"/>
      <c r="Y16" s="43" t="str">
        <f t="shared" si="5"/>
        <v>ENS-10576</v>
      </c>
      <c r="Z16" s="43" t="str">
        <f t="shared" si="6"/>
        <v>ENS-11002</v>
      </c>
      <c r="AA16" s="43" t="str">
        <f t="shared" si="7"/>
        <v>ENS-11003</v>
      </c>
      <c r="AB16" s="42"/>
      <c r="AC16" s="37" t="s">
        <v>36</v>
      </c>
      <c r="AD16" s="37" t="s">
        <v>62</v>
      </c>
      <c r="AE16" s="4" t="str">
        <f t="shared" si="8"/>
        <v>ENS-10576</v>
      </c>
      <c r="AF16" s="4" t="b">
        <f t="shared" si="8"/>
        <v>0</v>
      </c>
      <c r="AG16" s="4" t="b">
        <f t="shared" si="8"/>
        <v>0</v>
      </c>
      <c r="AH16" s="4" t="str">
        <f t="shared" si="9"/>
        <v>ENS-11002</v>
      </c>
      <c r="AI16" s="4" t="b">
        <f t="shared" si="9"/>
        <v>0</v>
      </c>
      <c r="AJ16" s="4" t="b">
        <f t="shared" si="9"/>
        <v>0</v>
      </c>
      <c r="AK16" s="4" t="str">
        <f t="shared" si="10"/>
        <v>ENS-11003</v>
      </c>
      <c r="AL16" s="4" t="b">
        <f t="shared" si="10"/>
        <v>0</v>
      </c>
      <c r="AM16" s="4" t="b">
        <f t="shared" si="10"/>
        <v>0</v>
      </c>
      <c r="AN16" s="4" t="str">
        <f t="shared" si="11"/>
        <v>C</v>
      </c>
      <c r="AO16" s="4">
        <f>IF(AND(AD16=Parâmetros!$J$3,AN16="C"),S16,0)</f>
        <v>2</v>
      </c>
      <c r="AP16" s="4">
        <f>IF(AND(AD16=Parâmetros!$J$3,AN16="O"),S16,0)</f>
        <v>0</v>
      </c>
      <c r="AQ16" s="4">
        <f>IF(AND(AD16=Parâmetros!$J$4,AN16="C"),S16,0)</f>
        <v>0</v>
      </c>
      <c r="AR16" s="4">
        <f>IF(AND(AD16=Parâmetros!$J$4,AN16="O"),S16,0)</f>
        <v>0</v>
      </c>
      <c r="AS16" s="4">
        <f>IF(AND(AD16=Parâmetros!$J$5,AN16="C"),S16,0)</f>
        <v>0</v>
      </c>
      <c r="AT16" s="4">
        <f>IF(AND(AD16=Parâmetros!$J$5,AN16="O"),S16,0)</f>
        <v>0</v>
      </c>
    </row>
    <row r="17" spans="1:46" ht="15" customHeight="1" x14ac:dyDescent="0.25">
      <c r="A17" s="28" t="str">
        <f t="shared" si="0"/>
        <v>ENS</v>
      </c>
      <c r="B17" s="83" t="s">
        <v>25</v>
      </c>
      <c r="C17" s="11" t="s">
        <v>127</v>
      </c>
      <c r="D17" s="11" t="s">
        <v>128</v>
      </c>
      <c r="E17" s="11"/>
      <c r="F17" s="11">
        <v>0</v>
      </c>
      <c r="G17" s="11" t="s">
        <v>26</v>
      </c>
      <c r="H17" s="32" t="s">
        <v>40</v>
      </c>
      <c r="I17" s="31" t="s">
        <v>28</v>
      </c>
      <c r="J17" s="32" t="s">
        <v>29</v>
      </c>
      <c r="K17" s="11" t="str">
        <f>_xlfn.XLOOKUP(Planilha!$J17,Tabela9[Pessoas],Tabela9[UUID Jira])</f>
        <v>712020:8364b9cf-88a2-4399-9f86-fff7bed77ce2</v>
      </c>
      <c r="L17" s="32" t="s">
        <v>94</v>
      </c>
      <c r="M17" s="11" t="str">
        <f>_xlfn.XLOOKUP(Planilha!$L17,Tabela9[Pessoas],Tabela9[UUID Jira])</f>
        <v>6245e14af6a26900695d5c1c</v>
      </c>
      <c r="N17" s="11" t="s">
        <v>129</v>
      </c>
      <c r="O17" s="11" t="s">
        <v>129</v>
      </c>
      <c r="P17" s="11" t="s">
        <v>129</v>
      </c>
      <c r="Q17" s="11" t="s">
        <v>87</v>
      </c>
      <c r="R17" s="36" t="s">
        <v>130</v>
      </c>
      <c r="S17" s="10">
        <v>4</v>
      </c>
      <c r="T17" s="11">
        <f>_xlfn.XLOOKUP(S17,Tabela4[Horas],Tabela4[Pontos],,1)</f>
        <v>0.5</v>
      </c>
      <c r="U17" s="11" t="s">
        <v>131</v>
      </c>
      <c r="V17" s="11" t="s">
        <v>132</v>
      </c>
      <c r="W17" s="11" t="s">
        <v>133</v>
      </c>
      <c r="X17" s="42"/>
      <c r="Y17" s="43" t="str">
        <f t="shared" si="5"/>
        <v>ENS-10673</v>
      </c>
      <c r="Z17" s="43" t="str">
        <f t="shared" si="6"/>
        <v>ENS-11004</v>
      </c>
      <c r="AA17" s="43" t="str">
        <f t="shared" si="7"/>
        <v>ENS-11005</v>
      </c>
      <c r="AB17" s="42"/>
      <c r="AC17" s="37" t="s">
        <v>36</v>
      </c>
      <c r="AD17" s="37" t="s">
        <v>62</v>
      </c>
      <c r="AE17" s="4" t="str">
        <f t="shared" si="8"/>
        <v>ENS-10673</v>
      </c>
      <c r="AF17" s="4" t="b">
        <f t="shared" si="8"/>
        <v>0</v>
      </c>
      <c r="AG17" s="4" t="b">
        <f t="shared" si="8"/>
        <v>0</v>
      </c>
      <c r="AH17" s="4" t="str">
        <f t="shared" si="9"/>
        <v>ENS-11004</v>
      </c>
      <c r="AI17" s="4" t="b">
        <f t="shared" si="9"/>
        <v>0</v>
      </c>
      <c r="AJ17" s="4" t="b">
        <f t="shared" si="9"/>
        <v>0</v>
      </c>
      <c r="AK17" s="4" t="str">
        <f t="shared" si="10"/>
        <v>ENS-11005</v>
      </c>
      <c r="AL17" s="4" t="b">
        <f t="shared" si="10"/>
        <v>0</v>
      </c>
      <c r="AM17" s="4" t="b">
        <f t="shared" si="10"/>
        <v>0</v>
      </c>
      <c r="AN17" s="4" t="str">
        <f t="shared" si="11"/>
        <v>C</v>
      </c>
      <c r="AO17" s="4">
        <f>IF(AND(AD17=Parâmetros!$J$3,AN17="C"),S17,0)</f>
        <v>4</v>
      </c>
      <c r="AP17" s="4">
        <f>IF(AND(AD17=Parâmetros!$J$3,AN17="O"),S17,0)</f>
        <v>0</v>
      </c>
      <c r="AQ17" s="4">
        <f>IF(AND(AD17=Parâmetros!$J$4,AN17="C"),S17,0)</f>
        <v>0</v>
      </c>
      <c r="AR17" s="4">
        <f>IF(AND(AD17=Parâmetros!$J$4,AN17="O"),S17,0)</f>
        <v>0</v>
      </c>
      <c r="AS17" s="4">
        <f>IF(AND(AD17=Parâmetros!$J$5,AN17="C"),S17,0)</f>
        <v>0</v>
      </c>
      <c r="AT17" s="4">
        <f>IF(AND(AD17=Parâmetros!$J$5,AN17="O"),S17,0)</f>
        <v>0</v>
      </c>
    </row>
    <row r="18" spans="1:46" ht="15" customHeight="1" x14ac:dyDescent="0.25">
      <c r="A18" s="28" t="str">
        <f t="shared" si="0"/>
        <v>ENS</v>
      </c>
      <c r="B18" s="83" t="s">
        <v>25</v>
      </c>
      <c r="C18" s="11">
        <v>0</v>
      </c>
      <c r="D18" s="11">
        <v>0</v>
      </c>
      <c r="E18" s="11"/>
      <c r="F18" s="11">
        <v>0</v>
      </c>
      <c r="G18" s="11" t="s">
        <v>26</v>
      </c>
      <c r="H18" s="32" t="s">
        <v>40</v>
      </c>
      <c r="I18" s="31" t="s">
        <v>28</v>
      </c>
      <c r="J18" s="32" t="s">
        <v>29</v>
      </c>
      <c r="K18" s="11" t="str">
        <f>_xlfn.XLOOKUP(Planilha!$J18,Tabela9[Pessoas],Tabela9[UUID Jira])</f>
        <v>712020:8364b9cf-88a2-4399-9f86-fff7bed77ce2</v>
      </c>
      <c r="L18" s="32" t="s">
        <v>78</v>
      </c>
      <c r="M18" s="11" t="str">
        <f>_xlfn.XLOOKUP(Planilha!$L18,Tabela9[Pessoas],Tabela9[UUID Jira])</f>
        <v>557058:330c824e-66ab-4df0-b7eb-8ddf9d578a4e</v>
      </c>
      <c r="N18" s="11" t="s">
        <v>134</v>
      </c>
      <c r="O18" s="11" t="s">
        <v>134</v>
      </c>
      <c r="P18" s="11" t="s">
        <v>134</v>
      </c>
      <c r="Q18" s="11" t="s">
        <v>32</v>
      </c>
      <c r="R18" s="36" t="s">
        <v>135</v>
      </c>
      <c r="S18" s="10">
        <v>2</v>
      </c>
      <c r="T18" s="11">
        <f>_xlfn.XLOOKUP(S18,Tabela4[Horas],Tabela4[Pontos],,1)</f>
        <v>0.5</v>
      </c>
      <c r="U18" s="11" t="s">
        <v>136</v>
      </c>
      <c r="V18" s="11" t="s">
        <v>137</v>
      </c>
      <c r="W18" s="11" t="s">
        <v>138</v>
      </c>
      <c r="X18" s="42"/>
      <c r="Y18" s="43" t="str">
        <f t="shared" si="5"/>
        <v>ENS-10676</v>
      </c>
      <c r="Z18" s="43" t="str">
        <f t="shared" si="6"/>
        <v>ENS-11006</v>
      </c>
      <c r="AA18" s="43" t="str">
        <f t="shared" si="7"/>
        <v>ENS-11007</v>
      </c>
      <c r="AB18" s="42"/>
      <c r="AC18" s="37" t="s">
        <v>36</v>
      </c>
      <c r="AD18" s="37" t="s">
        <v>62</v>
      </c>
      <c r="AE18" s="4" t="str">
        <f t="shared" si="8"/>
        <v>ENS-10676</v>
      </c>
      <c r="AF18" s="4" t="b">
        <f t="shared" si="8"/>
        <v>0</v>
      </c>
      <c r="AG18" s="4" t="b">
        <f t="shared" si="8"/>
        <v>0</v>
      </c>
      <c r="AH18" s="4" t="str">
        <f t="shared" si="9"/>
        <v>ENS-11006</v>
      </c>
      <c r="AI18" s="4" t="b">
        <f t="shared" si="9"/>
        <v>0</v>
      </c>
      <c r="AJ18" s="4" t="b">
        <f t="shared" si="9"/>
        <v>0</v>
      </c>
      <c r="AK18" s="4" t="str">
        <f t="shared" si="10"/>
        <v>ENS-11007</v>
      </c>
      <c r="AL18" s="4" t="b">
        <f t="shared" si="10"/>
        <v>0</v>
      </c>
      <c r="AM18" s="4" t="b">
        <f t="shared" si="10"/>
        <v>0</v>
      </c>
      <c r="AN18" s="4" t="str">
        <f t="shared" si="11"/>
        <v>O</v>
      </c>
      <c r="AO18" s="4">
        <f>IF(AND(AD18=Parâmetros!$J$3,AN18="C"),S18,0)</f>
        <v>0</v>
      </c>
      <c r="AP18" s="4">
        <f>IF(AND(AD18=Parâmetros!$J$3,AN18="O"),S18,0)</f>
        <v>2</v>
      </c>
      <c r="AQ18" s="4">
        <f>IF(AND(AD18=Parâmetros!$J$4,AN18="C"),S18,0)</f>
        <v>0</v>
      </c>
      <c r="AR18" s="4">
        <f>IF(AND(AD18=Parâmetros!$J$4,AN18="O"),S18,0)</f>
        <v>0</v>
      </c>
      <c r="AS18" s="4">
        <f>IF(AND(AD18=Parâmetros!$J$5,AN18="C"),S18,0)</f>
        <v>0</v>
      </c>
      <c r="AT18" s="4">
        <f>IF(AND(AD18=Parâmetros!$J$5,AN18="O"),S18,0)</f>
        <v>0</v>
      </c>
    </row>
    <row r="19" spans="1:46" ht="15" customHeight="1" x14ac:dyDescent="0.25">
      <c r="A19" s="28" t="str">
        <f t="shared" si="0"/>
        <v>ENS</v>
      </c>
      <c r="B19" s="83" t="s">
        <v>25</v>
      </c>
      <c r="C19" s="11" t="s">
        <v>139</v>
      </c>
      <c r="D19" s="11" t="s">
        <v>140</v>
      </c>
      <c r="E19" s="11"/>
      <c r="F19" s="11">
        <v>0</v>
      </c>
      <c r="G19" s="11" t="s">
        <v>26</v>
      </c>
      <c r="H19" s="32" t="s">
        <v>40</v>
      </c>
      <c r="I19" s="31" t="s">
        <v>28</v>
      </c>
      <c r="J19" s="32" t="s">
        <v>29</v>
      </c>
      <c r="K19" s="11" t="str">
        <f>_xlfn.XLOOKUP(Planilha!$J19,Tabela9[Pessoas],Tabela9[UUID Jira])</f>
        <v>712020:8364b9cf-88a2-4399-9f86-fff7bed77ce2</v>
      </c>
      <c r="L19" s="11" t="s">
        <v>65</v>
      </c>
      <c r="M19" s="11" t="str">
        <f>_xlfn.XLOOKUP(Planilha!$L19,Tabela9[Pessoas],Tabela9[UUID Jira])</f>
        <v>557058:004709f9-0a88-4979-a875-f58ca3985cf7</v>
      </c>
      <c r="N19" s="11" t="s">
        <v>141</v>
      </c>
      <c r="O19" s="11" t="s">
        <v>141</v>
      </c>
      <c r="P19" s="11" t="s">
        <v>141</v>
      </c>
      <c r="Q19" s="32" t="s">
        <v>87</v>
      </c>
      <c r="R19" s="11" t="s">
        <v>141</v>
      </c>
      <c r="S19" s="10">
        <v>4</v>
      </c>
      <c r="T19" s="11">
        <f>_xlfn.XLOOKUP(S19,Tabela4[Horas],Tabela4[Pontos],,1)</f>
        <v>0.5</v>
      </c>
      <c r="U19" s="11" t="s">
        <v>142</v>
      </c>
      <c r="V19" s="11" t="s">
        <v>143</v>
      </c>
      <c r="W19" s="11" t="s">
        <v>144</v>
      </c>
      <c r="X19" s="42"/>
      <c r="Y19" s="43" t="str">
        <f t="shared" si="5"/>
        <v>ENS-10380</v>
      </c>
      <c r="Z19" s="43" t="str">
        <f t="shared" si="6"/>
        <v>ENS-11008</v>
      </c>
      <c r="AA19" s="43" t="str">
        <f t="shared" si="7"/>
        <v>ENS-11009</v>
      </c>
      <c r="AB19" s="42"/>
      <c r="AC19" s="37" t="s">
        <v>36</v>
      </c>
      <c r="AD19" s="37" t="s">
        <v>62</v>
      </c>
      <c r="AE19" s="4" t="str">
        <f t="shared" si="8"/>
        <v>ENS-10380</v>
      </c>
      <c r="AF19" s="4" t="b">
        <f t="shared" si="8"/>
        <v>0</v>
      </c>
      <c r="AG19" s="4" t="b">
        <f t="shared" si="8"/>
        <v>0</v>
      </c>
      <c r="AH19" s="4" t="str">
        <f t="shared" si="9"/>
        <v>ENS-11008</v>
      </c>
      <c r="AI19" s="4" t="b">
        <f t="shared" si="9"/>
        <v>0</v>
      </c>
      <c r="AJ19" s="4" t="b">
        <f t="shared" si="9"/>
        <v>0</v>
      </c>
      <c r="AK19" s="4" t="str">
        <f t="shared" si="10"/>
        <v>ENS-11009</v>
      </c>
      <c r="AL19" s="4" t="b">
        <f t="shared" si="10"/>
        <v>0</v>
      </c>
      <c r="AM19" s="4" t="b">
        <f t="shared" si="10"/>
        <v>0</v>
      </c>
      <c r="AN19" s="4" t="str">
        <f t="shared" si="11"/>
        <v>C</v>
      </c>
      <c r="AO19" s="4">
        <f>IF(AND(AD19=Parâmetros!$J$3,AN19="C"),S19,0)</f>
        <v>4</v>
      </c>
      <c r="AP19" s="4">
        <f>IF(AND(AD19=Parâmetros!$J$3,AN19="O"),S19,0)</f>
        <v>0</v>
      </c>
      <c r="AQ19" s="4">
        <f>IF(AND(AD19=Parâmetros!$J$4,AN19="C"),S19,0)</f>
        <v>0</v>
      </c>
      <c r="AR19" s="4">
        <f>IF(AND(AD19=Parâmetros!$J$4,AN19="O"),S19,0)</f>
        <v>0</v>
      </c>
      <c r="AS19" s="4">
        <f>IF(AND(AD19=Parâmetros!$J$5,AN19="C"),S19,0)</f>
        <v>0</v>
      </c>
      <c r="AT19" s="4">
        <f>IF(AND(AD19=Parâmetros!$J$5,AN19="O"),S19,0)</f>
        <v>0</v>
      </c>
    </row>
    <row r="20" spans="1:46" ht="15" customHeight="1" x14ac:dyDescent="0.25">
      <c r="A20" s="28" t="str">
        <f t="shared" si="0"/>
        <v>ENS</v>
      </c>
      <c r="B20" s="83" t="s">
        <v>25</v>
      </c>
      <c r="C20" s="11" t="s">
        <v>145</v>
      </c>
      <c r="D20" s="11" t="s">
        <v>146</v>
      </c>
      <c r="E20" s="11"/>
      <c r="F20" s="11">
        <v>0</v>
      </c>
      <c r="G20" s="11" t="s">
        <v>26</v>
      </c>
      <c r="H20" s="32" t="s">
        <v>40</v>
      </c>
      <c r="I20" s="31" t="s">
        <v>28</v>
      </c>
      <c r="J20" s="32" t="s">
        <v>29</v>
      </c>
      <c r="K20" s="11" t="str">
        <f>_xlfn.XLOOKUP(Planilha!$J20,Tabela9[Pessoas],Tabela9[UUID Jira])</f>
        <v>712020:8364b9cf-88a2-4399-9f86-fff7bed77ce2</v>
      </c>
      <c r="L20" s="32" t="s">
        <v>78</v>
      </c>
      <c r="M20" s="11" t="str">
        <f>_xlfn.XLOOKUP(Planilha!$L20,Tabela9[Pessoas],Tabela9[UUID Jira])</f>
        <v>557058:330c824e-66ab-4df0-b7eb-8ddf9d578a4e</v>
      </c>
      <c r="N20" s="11" t="s">
        <v>147</v>
      </c>
      <c r="O20" s="11" t="s">
        <v>147</v>
      </c>
      <c r="P20" s="47" t="s">
        <v>147</v>
      </c>
      <c r="Q20" s="11" t="s">
        <v>87</v>
      </c>
      <c r="R20" s="36" t="s">
        <v>148</v>
      </c>
      <c r="S20" s="10">
        <v>4</v>
      </c>
      <c r="T20" s="11">
        <f>_xlfn.XLOOKUP(S20,Tabela4[Horas],Tabela4[Pontos],,1)</f>
        <v>0.5</v>
      </c>
      <c r="U20" s="11" t="s">
        <v>149</v>
      </c>
      <c r="V20" s="11" t="s">
        <v>150</v>
      </c>
      <c r="W20" s="11" t="s">
        <v>151</v>
      </c>
      <c r="X20" s="42"/>
      <c r="Y20" s="43" t="str">
        <f t="shared" si="5"/>
        <v>ENS-10762</v>
      </c>
      <c r="Z20" s="43" t="str">
        <f t="shared" si="6"/>
        <v>ENS-11010</v>
      </c>
      <c r="AA20" s="43" t="str">
        <f t="shared" si="7"/>
        <v>ENS-11011</v>
      </c>
      <c r="AB20" s="42"/>
      <c r="AC20" s="44" t="s">
        <v>36</v>
      </c>
      <c r="AD20" s="44" t="s">
        <v>62</v>
      </c>
      <c r="AE20" s="4" t="str">
        <f t="shared" si="8"/>
        <v>ENS-10762</v>
      </c>
      <c r="AF20" s="4" t="b">
        <f t="shared" si="8"/>
        <v>0</v>
      </c>
      <c r="AG20" s="4" t="b">
        <f t="shared" si="8"/>
        <v>0</v>
      </c>
      <c r="AH20" s="4" t="str">
        <f t="shared" si="9"/>
        <v>ENS-11010</v>
      </c>
      <c r="AI20" s="4" t="b">
        <f t="shared" si="9"/>
        <v>0</v>
      </c>
      <c r="AJ20" s="4" t="b">
        <f t="shared" si="9"/>
        <v>0</v>
      </c>
      <c r="AK20" s="4" t="str">
        <f t="shared" si="10"/>
        <v>ENS-11011</v>
      </c>
      <c r="AL20" s="4" t="b">
        <f t="shared" si="10"/>
        <v>0</v>
      </c>
      <c r="AM20" s="4" t="b">
        <f t="shared" si="10"/>
        <v>0</v>
      </c>
      <c r="AN20" s="4" t="str">
        <f t="shared" si="11"/>
        <v>C</v>
      </c>
      <c r="AO20" s="4">
        <f>IF(AND(AD20=Parâmetros!$J$3,AN20="C"),S20,0)</f>
        <v>4</v>
      </c>
      <c r="AP20" s="4">
        <f>IF(AND(AD20=Parâmetros!$J$3,AN20="O"),S20,0)</f>
        <v>0</v>
      </c>
      <c r="AQ20" s="4">
        <f>IF(AND(AD20=Parâmetros!$J$4,AN20="C"),S20,0)</f>
        <v>0</v>
      </c>
      <c r="AR20" s="4">
        <f>IF(AND(AD20=Parâmetros!$J$4,AN20="O"),S20,0)</f>
        <v>0</v>
      </c>
      <c r="AS20" s="4">
        <f>IF(AND(AD20=Parâmetros!$J$5,AN20="C"),S20,0)</f>
        <v>0</v>
      </c>
      <c r="AT20" s="4">
        <f>IF(AND(AD20=Parâmetros!$J$5,AN20="O"),S20,0)</f>
        <v>0</v>
      </c>
    </row>
    <row r="21" spans="1:46" ht="15" customHeight="1" x14ac:dyDescent="0.25">
      <c r="A21" s="28" t="s">
        <v>152</v>
      </c>
      <c r="B21" s="83" t="s">
        <v>25</v>
      </c>
      <c r="C21" s="11">
        <v>0</v>
      </c>
      <c r="D21" s="11">
        <v>0</v>
      </c>
      <c r="E21" s="35"/>
      <c r="F21" s="35">
        <v>0</v>
      </c>
      <c r="G21" s="11" t="s">
        <v>26</v>
      </c>
      <c r="H21" s="32" t="s">
        <v>27</v>
      </c>
      <c r="I21" s="31" t="s">
        <v>28</v>
      </c>
      <c r="J21" s="32" t="s">
        <v>29</v>
      </c>
      <c r="K21" s="11" t="str">
        <f>_xlfn.XLOOKUP(Planilha!$J21,Tabela9[Pessoas],Tabela9[UUID Jira])</f>
        <v>712020:8364b9cf-88a2-4399-9f86-fff7bed77ce2</v>
      </c>
      <c r="L21" s="40" t="s">
        <v>65</v>
      </c>
      <c r="M21" s="11" t="str">
        <f>_xlfn.XLOOKUP(Planilha!$L21,Tabela9[Pessoas],Tabela9[UUID Jira])</f>
        <v>557058:004709f9-0a88-4979-a875-f58ca3985cf7</v>
      </c>
      <c r="N21" s="11" t="s">
        <v>153</v>
      </c>
      <c r="O21" s="11" t="s">
        <v>153</v>
      </c>
      <c r="P21" s="11" t="s">
        <v>154</v>
      </c>
      <c r="Q21" s="11" t="s">
        <v>32</v>
      </c>
      <c r="R21" s="11" t="s">
        <v>155</v>
      </c>
      <c r="S21" s="33">
        <v>8</v>
      </c>
      <c r="T21" s="11">
        <f>_xlfn.XLOOKUP(S21,Tabela4[Horas],Tabela4[Pontos],,1)</f>
        <v>1</v>
      </c>
      <c r="U21" s="11" t="s">
        <v>156</v>
      </c>
      <c r="V21" s="11" t="s">
        <v>157</v>
      </c>
      <c r="W21" s="11" t="s">
        <v>158</v>
      </c>
      <c r="X21" s="45"/>
      <c r="Y21" s="43" t="str">
        <f t="shared" si="5"/>
        <v>ENS-10877</v>
      </c>
      <c r="Z21" s="43" t="str">
        <f t="shared" si="6"/>
        <v>ENS-11012</v>
      </c>
      <c r="AA21" s="43" t="str">
        <f t="shared" si="7"/>
        <v>ENS-11013</v>
      </c>
      <c r="AB21" s="45"/>
      <c r="AC21" s="46" t="s">
        <v>36</v>
      </c>
      <c r="AD21" s="46" t="s">
        <v>62</v>
      </c>
      <c r="AE21" s="4" t="str">
        <f t="shared" si="8"/>
        <v>ENS-10877</v>
      </c>
      <c r="AF21" s="4" t="b">
        <f t="shared" si="8"/>
        <v>0</v>
      </c>
      <c r="AG21" s="4" t="b">
        <f t="shared" si="8"/>
        <v>0</v>
      </c>
      <c r="AH21" s="4" t="str">
        <f t="shared" si="9"/>
        <v>ENS-11012</v>
      </c>
      <c r="AI21" s="4" t="b">
        <f t="shared" si="9"/>
        <v>0</v>
      </c>
      <c r="AJ21" s="4" t="b">
        <f t="shared" si="9"/>
        <v>0</v>
      </c>
      <c r="AK21" s="4" t="str">
        <f t="shared" si="10"/>
        <v>ENS-11013</v>
      </c>
      <c r="AL21" s="4" t="b">
        <f t="shared" si="10"/>
        <v>0</v>
      </c>
      <c r="AM21" s="4" t="b">
        <f t="shared" si="10"/>
        <v>0</v>
      </c>
      <c r="AN21" s="4" t="str">
        <f t="shared" si="11"/>
        <v>O</v>
      </c>
      <c r="AO21" s="4">
        <f>IF(AND(AD21=Parâmetros!$J$3,AN21="C"),S21,0)</f>
        <v>0</v>
      </c>
      <c r="AP21" s="4">
        <f>IF(AND(AD21=Parâmetros!$J$3,AN21="O"),S21,0)</f>
        <v>8</v>
      </c>
      <c r="AQ21" s="4">
        <f>IF(AND(AD21=Parâmetros!$J$4,AN21="C"),S21,0)</f>
        <v>0</v>
      </c>
      <c r="AR21" s="4">
        <f>IF(AND(AD21=Parâmetros!$J$4,AN21="O"),S21,0)</f>
        <v>0</v>
      </c>
      <c r="AS21" s="4">
        <f>IF(AND(AD21=Parâmetros!$J$5,AN21="C"),S21,0)</f>
        <v>0</v>
      </c>
      <c r="AT21" s="4">
        <f>IF(AND(AD21=Parâmetros!$J$5,AN21="O"),S21,0)</f>
        <v>0</v>
      </c>
    </row>
    <row r="22" spans="1:46" ht="15" customHeight="1" x14ac:dyDescent="0.25">
      <c r="A22" s="28" t="s">
        <v>152</v>
      </c>
      <c r="B22" s="83" t="s">
        <v>25</v>
      </c>
      <c r="C22" s="11">
        <v>0</v>
      </c>
      <c r="D22" s="11">
        <v>0</v>
      </c>
      <c r="E22" s="35"/>
      <c r="F22" s="35">
        <v>0</v>
      </c>
      <c r="G22" s="11" t="s">
        <v>26</v>
      </c>
      <c r="H22" s="32" t="s">
        <v>27</v>
      </c>
      <c r="I22" s="31" t="s">
        <v>28</v>
      </c>
      <c r="J22" s="32" t="s">
        <v>29</v>
      </c>
      <c r="K22" s="11" t="str">
        <f>_xlfn.XLOOKUP(Planilha!$J22,Tabela9[Pessoas],Tabela9[UUID Jira])</f>
        <v>712020:8364b9cf-88a2-4399-9f86-fff7bed77ce2</v>
      </c>
      <c r="L22" s="40" t="s">
        <v>94</v>
      </c>
      <c r="M22" s="11" t="str">
        <f>_xlfn.XLOOKUP(Planilha!$L22,Tabela9[Pessoas],Tabela9[UUID Jira])</f>
        <v>6245e14af6a26900695d5c1c</v>
      </c>
      <c r="N22" s="11" t="s">
        <v>153</v>
      </c>
      <c r="O22" s="11" t="s">
        <v>153</v>
      </c>
      <c r="P22" s="11" t="s">
        <v>159</v>
      </c>
      <c r="Q22" s="11" t="s">
        <v>32</v>
      </c>
      <c r="R22" s="11" t="s">
        <v>155</v>
      </c>
      <c r="S22" s="33">
        <v>4</v>
      </c>
      <c r="T22" s="11">
        <f>_xlfn.XLOOKUP(S22,Tabela4[Horas],Tabela4[Pontos],,1)</f>
        <v>0.5</v>
      </c>
      <c r="U22" s="11" t="s">
        <v>156</v>
      </c>
      <c r="V22" s="11" t="s">
        <v>157</v>
      </c>
      <c r="W22" s="11" t="s">
        <v>160</v>
      </c>
      <c r="X22" s="45"/>
      <c r="Y22" s="43" t="str">
        <f t="shared" si="5"/>
        <v>ENS-10877</v>
      </c>
      <c r="Z22" s="43" t="str">
        <f t="shared" si="6"/>
        <v>ENS-11012</v>
      </c>
      <c r="AA22" s="43" t="str">
        <f t="shared" si="7"/>
        <v>ENS-11014</v>
      </c>
      <c r="AB22" s="45"/>
      <c r="AC22" s="46" t="s">
        <v>36</v>
      </c>
      <c r="AD22" s="46" t="s">
        <v>62</v>
      </c>
      <c r="AE22" s="4" t="str">
        <f t="shared" si="8"/>
        <v>ENS-10877</v>
      </c>
      <c r="AF22" s="4" t="b">
        <f t="shared" si="8"/>
        <v>0</v>
      </c>
      <c r="AG22" s="4" t="b">
        <f t="shared" si="8"/>
        <v>0</v>
      </c>
      <c r="AH22" s="4" t="str">
        <f t="shared" si="9"/>
        <v>ENS-11012</v>
      </c>
      <c r="AI22" s="4" t="b">
        <f t="shared" si="9"/>
        <v>0</v>
      </c>
      <c r="AJ22" s="4" t="b">
        <f t="shared" si="9"/>
        <v>0</v>
      </c>
      <c r="AK22" s="4" t="str">
        <f t="shared" si="10"/>
        <v>ENS-11014</v>
      </c>
      <c r="AL22" s="4" t="b">
        <f t="shared" si="10"/>
        <v>0</v>
      </c>
      <c r="AM22" s="4" t="b">
        <f t="shared" si="10"/>
        <v>0</v>
      </c>
      <c r="AN22" s="4" t="str">
        <f t="shared" si="11"/>
        <v>O</v>
      </c>
      <c r="AO22" s="4">
        <f>IF(AND(AD22=Parâmetros!$J$3,AN22="C"),S22,0)</f>
        <v>0</v>
      </c>
      <c r="AP22" s="4">
        <f>IF(AND(AD22=Parâmetros!$J$3,AN22="O"),S22,0)</f>
        <v>4</v>
      </c>
      <c r="AQ22" s="4">
        <f>IF(AND(AD22=Parâmetros!$J$4,AN22="C"),S22,0)</f>
        <v>0</v>
      </c>
      <c r="AR22" s="4">
        <f>IF(AND(AD22=Parâmetros!$J$4,AN22="O"),S22,0)</f>
        <v>0</v>
      </c>
      <c r="AS22" s="4">
        <f>IF(AND(AD22=Parâmetros!$J$5,AN22="C"),S22,0)</f>
        <v>0</v>
      </c>
      <c r="AT22" s="4">
        <f>IF(AND(AD22=Parâmetros!$J$5,AN22="O"),S22,0)</f>
        <v>0</v>
      </c>
    </row>
    <row r="23" spans="1:46" ht="15" customHeight="1" x14ac:dyDescent="0.25">
      <c r="A23" s="28" t="s">
        <v>152</v>
      </c>
      <c r="B23" s="83" t="s">
        <v>25</v>
      </c>
      <c r="C23" s="11">
        <v>0</v>
      </c>
      <c r="D23" s="11">
        <v>0</v>
      </c>
      <c r="E23" s="35"/>
      <c r="F23" s="35">
        <v>0</v>
      </c>
      <c r="G23" s="11" t="s">
        <v>26</v>
      </c>
      <c r="H23" s="32" t="s">
        <v>27</v>
      </c>
      <c r="I23" s="31" t="s">
        <v>28</v>
      </c>
      <c r="J23" s="32" t="s">
        <v>29</v>
      </c>
      <c r="K23" s="11" t="str">
        <f>_xlfn.XLOOKUP(Planilha!$J23,Tabela9[Pessoas],Tabela9[UUID Jira])</f>
        <v>712020:8364b9cf-88a2-4399-9f86-fff7bed77ce2</v>
      </c>
      <c r="L23" s="40" t="s">
        <v>78</v>
      </c>
      <c r="M23" s="11" t="str">
        <f>_xlfn.XLOOKUP(Planilha!$L23,Tabela9[Pessoas],Tabela9[UUID Jira])</f>
        <v>557058:330c824e-66ab-4df0-b7eb-8ddf9d578a4e</v>
      </c>
      <c r="N23" s="11" t="s">
        <v>153</v>
      </c>
      <c r="O23" s="11" t="s">
        <v>153</v>
      </c>
      <c r="P23" s="11" t="s">
        <v>161</v>
      </c>
      <c r="Q23" s="11" t="s">
        <v>32</v>
      </c>
      <c r="R23" s="11" t="s">
        <v>155</v>
      </c>
      <c r="S23" s="33">
        <v>4</v>
      </c>
      <c r="T23" s="11">
        <f>_xlfn.XLOOKUP(S23,Tabela4[Horas],Tabela4[Pontos],,1)</f>
        <v>0.5</v>
      </c>
      <c r="U23" s="11" t="s">
        <v>156</v>
      </c>
      <c r="V23" s="11" t="s">
        <v>157</v>
      </c>
      <c r="W23" s="11" t="s">
        <v>162</v>
      </c>
      <c r="X23" s="45"/>
      <c r="Y23" s="43" t="str">
        <f t="shared" si="5"/>
        <v>ENS-10877</v>
      </c>
      <c r="Z23" s="43" t="str">
        <f t="shared" si="6"/>
        <v>ENS-11012</v>
      </c>
      <c r="AA23" s="43" t="str">
        <f t="shared" si="7"/>
        <v>ENS-11015</v>
      </c>
      <c r="AB23" s="45"/>
      <c r="AC23" s="46" t="s">
        <v>36</v>
      </c>
      <c r="AD23" s="46" t="s">
        <v>62</v>
      </c>
      <c r="AE23" s="4" t="str">
        <f t="shared" si="8"/>
        <v>ENS-10877</v>
      </c>
      <c r="AF23" s="4" t="b">
        <f t="shared" si="8"/>
        <v>0</v>
      </c>
      <c r="AG23" s="4" t="b">
        <f t="shared" si="8"/>
        <v>0</v>
      </c>
      <c r="AH23" s="4" t="str">
        <f t="shared" si="9"/>
        <v>ENS-11012</v>
      </c>
      <c r="AI23" s="4" t="b">
        <f t="shared" si="9"/>
        <v>0</v>
      </c>
      <c r="AJ23" s="4" t="b">
        <f t="shared" si="9"/>
        <v>0</v>
      </c>
      <c r="AK23" s="4" t="str">
        <f t="shared" si="10"/>
        <v>ENS-11015</v>
      </c>
      <c r="AL23" s="4" t="b">
        <f t="shared" si="10"/>
        <v>0</v>
      </c>
      <c r="AM23" s="4" t="b">
        <f t="shared" si="10"/>
        <v>0</v>
      </c>
      <c r="AN23" s="4" t="str">
        <f t="shared" si="11"/>
        <v>O</v>
      </c>
      <c r="AO23" s="4">
        <f>IF(AND(AD23=Parâmetros!$J$3,AN23="C"),S23,0)</f>
        <v>0</v>
      </c>
      <c r="AP23" s="4">
        <f>IF(AND(AD23=Parâmetros!$J$3,AN23="O"),S23,0)</f>
        <v>4</v>
      </c>
      <c r="AQ23" s="4">
        <f>IF(AND(AD23=Parâmetros!$J$4,AN23="C"),S23,0)</f>
        <v>0</v>
      </c>
      <c r="AR23" s="4">
        <f>IF(AND(AD23=Parâmetros!$J$4,AN23="O"),S23,0)</f>
        <v>0</v>
      </c>
      <c r="AS23" s="4">
        <f>IF(AND(AD23=Parâmetros!$J$5,AN23="C"),S23,0)</f>
        <v>0</v>
      </c>
      <c r="AT23" s="4">
        <f>IF(AND(AD23=Parâmetros!$J$5,AN23="O"),S23,0)</f>
        <v>0</v>
      </c>
    </row>
    <row r="24" spans="1:46" ht="15" customHeight="1" x14ac:dyDescent="0.25">
      <c r="A24" s="28" t="s">
        <v>152</v>
      </c>
      <c r="B24" s="83" t="s">
        <v>25</v>
      </c>
      <c r="C24" s="11">
        <v>0</v>
      </c>
      <c r="D24" s="11">
        <v>0</v>
      </c>
      <c r="E24" s="35"/>
      <c r="F24" s="35">
        <v>0</v>
      </c>
      <c r="G24" s="11" t="s">
        <v>26</v>
      </c>
      <c r="H24" s="32" t="s">
        <v>27</v>
      </c>
      <c r="I24" s="31" t="s">
        <v>28</v>
      </c>
      <c r="J24" s="32" t="s">
        <v>29</v>
      </c>
      <c r="K24" s="11" t="str">
        <f>_xlfn.XLOOKUP(Planilha!$J24,Tabela9[Pessoas],Tabela9[UUID Jira])</f>
        <v>712020:8364b9cf-88a2-4399-9f86-fff7bed77ce2</v>
      </c>
      <c r="L24" s="40" t="s">
        <v>57</v>
      </c>
      <c r="M24" s="11" t="str">
        <f>_xlfn.XLOOKUP(Planilha!$L24,Tabela9[Pessoas],Tabela9[UUID Jira])</f>
        <v>557058:43e80a76-deba-4dd8-b64d-c7c8e99c6312</v>
      </c>
      <c r="N24" s="11" t="s">
        <v>153</v>
      </c>
      <c r="O24" s="11" t="s">
        <v>153</v>
      </c>
      <c r="P24" s="11" t="s">
        <v>163</v>
      </c>
      <c r="Q24" s="11" t="s">
        <v>32</v>
      </c>
      <c r="R24" s="11" t="s">
        <v>155</v>
      </c>
      <c r="S24" s="33">
        <v>4</v>
      </c>
      <c r="T24" s="11">
        <f>_xlfn.XLOOKUP(S24,Tabela4[Horas],Tabela4[Pontos],,1)</f>
        <v>0.5</v>
      </c>
      <c r="U24" s="11" t="s">
        <v>156</v>
      </c>
      <c r="V24" s="11" t="s">
        <v>157</v>
      </c>
      <c r="W24" s="11" t="s">
        <v>164</v>
      </c>
      <c r="X24" s="45"/>
      <c r="Y24" s="43" t="str">
        <f t="shared" si="5"/>
        <v>ENS-10877</v>
      </c>
      <c r="Z24" s="43" t="str">
        <f t="shared" si="6"/>
        <v>ENS-11012</v>
      </c>
      <c r="AA24" s="43" t="str">
        <f t="shared" si="7"/>
        <v>ENS-11016</v>
      </c>
      <c r="AB24" s="45"/>
      <c r="AC24" s="46" t="s">
        <v>36</v>
      </c>
      <c r="AD24" s="46" t="s">
        <v>62</v>
      </c>
      <c r="AE24" s="4" t="str">
        <f t="shared" si="8"/>
        <v>ENS-10877</v>
      </c>
      <c r="AF24" s="4" t="b">
        <f t="shared" si="8"/>
        <v>0</v>
      </c>
      <c r="AG24" s="4" t="b">
        <f t="shared" si="8"/>
        <v>0</v>
      </c>
      <c r="AH24" s="4" t="str">
        <f t="shared" si="9"/>
        <v>ENS-11012</v>
      </c>
      <c r="AI24" s="4" t="b">
        <f t="shared" si="9"/>
        <v>0</v>
      </c>
      <c r="AJ24" s="4" t="b">
        <f t="shared" si="9"/>
        <v>0</v>
      </c>
      <c r="AK24" s="4" t="str">
        <f t="shared" si="10"/>
        <v>ENS-11016</v>
      </c>
      <c r="AL24" s="4" t="b">
        <f t="shared" si="10"/>
        <v>0</v>
      </c>
      <c r="AM24" s="4" t="b">
        <f t="shared" si="10"/>
        <v>0</v>
      </c>
      <c r="AN24" s="4" t="str">
        <f t="shared" si="11"/>
        <v>O</v>
      </c>
      <c r="AO24" s="4">
        <f>IF(AND(AD24=Parâmetros!$J$3,AN24="C"),S24,0)</f>
        <v>0</v>
      </c>
      <c r="AP24" s="4">
        <f>IF(AND(AD24=Parâmetros!$J$3,AN24="O"),S24,0)</f>
        <v>4</v>
      </c>
      <c r="AQ24" s="4">
        <f>IF(AND(AD24=Parâmetros!$J$4,AN24="C"),S24,0)</f>
        <v>0</v>
      </c>
      <c r="AR24" s="4">
        <f>IF(AND(AD24=Parâmetros!$J$4,AN24="O"),S24,0)</f>
        <v>0</v>
      </c>
      <c r="AS24" s="4">
        <f>IF(AND(AD24=Parâmetros!$J$5,AN24="C"),S24,0)</f>
        <v>0</v>
      </c>
      <c r="AT24" s="4">
        <f>IF(AND(AD24=Parâmetros!$J$5,AN24="O"),S24,0)</f>
        <v>0</v>
      </c>
    </row>
    <row r="25" spans="1:46" ht="15" customHeight="1" x14ac:dyDescent="0.25">
      <c r="A25" s="28" t="s">
        <v>152</v>
      </c>
      <c r="B25" s="83" t="s">
        <v>25</v>
      </c>
      <c r="C25" s="11">
        <v>0</v>
      </c>
      <c r="D25" s="11">
        <v>0</v>
      </c>
      <c r="E25" s="35"/>
      <c r="F25" s="35">
        <v>0</v>
      </c>
      <c r="G25" s="11" t="s">
        <v>26</v>
      </c>
      <c r="H25" s="32" t="s">
        <v>27</v>
      </c>
      <c r="I25" s="31" t="s">
        <v>28</v>
      </c>
      <c r="J25" s="32" t="s">
        <v>29</v>
      </c>
      <c r="K25" s="11" t="str">
        <f>_xlfn.XLOOKUP(Planilha!$J25,Tabela9[Pessoas],Tabela9[UUID Jira])</f>
        <v>712020:8364b9cf-88a2-4399-9f86-fff7bed77ce2</v>
      </c>
      <c r="L25" s="40" t="s">
        <v>57</v>
      </c>
      <c r="M25" s="11" t="str">
        <f>_xlfn.XLOOKUP(Planilha!$L25,Tabela9[Pessoas],Tabela9[UUID Jira])</f>
        <v>557058:43e80a76-deba-4dd8-b64d-c7c8e99c6312</v>
      </c>
      <c r="N25" s="11" t="s">
        <v>155</v>
      </c>
      <c r="O25" s="11" t="s">
        <v>155</v>
      </c>
      <c r="P25" s="11" t="s">
        <v>155</v>
      </c>
      <c r="Q25" s="11" t="s">
        <v>32</v>
      </c>
      <c r="R25" s="11" t="s">
        <v>155</v>
      </c>
      <c r="S25" s="33">
        <v>4</v>
      </c>
      <c r="T25" s="11">
        <f>_xlfn.XLOOKUP(S25,Tabela4[Horas],Tabela4[Pontos],,1)</f>
        <v>0.5</v>
      </c>
      <c r="U25" s="11" t="s">
        <v>165</v>
      </c>
      <c r="V25" s="11" t="s">
        <v>166</v>
      </c>
      <c r="W25" s="11" t="s">
        <v>167</v>
      </c>
      <c r="X25" s="45"/>
      <c r="Y25" s="43" t="str">
        <f t="shared" si="5"/>
        <v>ENS-10767</v>
      </c>
      <c r="Z25" s="43" t="str">
        <f t="shared" si="6"/>
        <v>ENS-11017</v>
      </c>
      <c r="AA25" s="43" t="str">
        <f t="shared" si="7"/>
        <v>ENS-11018</v>
      </c>
      <c r="AB25" s="45"/>
      <c r="AC25" s="46" t="s">
        <v>36</v>
      </c>
      <c r="AD25" s="46" t="s">
        <v>62</v>
      </c>
      <c r="AE25" s="4" t="str">
        <f t="shared" si="8"/>
        <v>ENS-10767</v>
      </c>
      <c r="AF25" s="4" t="b">
        <f t="shared" si="8"/>
        <v>0</v>
      </c>
      <c r="AG25" s="4" t="b">
        <f t="shared" si="8"/>
        <v>0</v>
      </c>
      <c r="AH25" s="4" t="str">
        <f t="shared" si="9"/>
        <v>ENS-11017</v>
      </c>
      <c r="AI25" s="4" t="b">
        <f t="shared" si="9"/>
        <v>0</v>
      </c>
      <c r="AJ25" s="4" t="b">
        <f t="shared" si="9"/>
        <v>0</v>
      </c>
      <c r="AK25" s="4" t="str">
        <f t="shared" si="10"/>
        <v>ENS-11018</v>
      </c>
      <c r="AL25" s="4" t="b">
        <f t="shared" si="10"/>
        <v>0</v>
      </c>
      <c r="AM25" s="4" t="b">
        <f t="shared" si="10"/>
        <v>0</v>
      </c>
      <c r="AN25" s="4" t="str">
        <f t="shared" si="11"/>
        <v>O</v>
      </c>
      <c r="AO25" s="4">
        <f>IF(AND(AD25=Parâmetros!$J$3,AN25="C"),S25,0)</f>
        <v>0</v>
      </c>
      <c r="AP25" s="4">
        <f>IF(AND(AD25=Parâmetros!$J$3,AN25="O"),S25,0)</f>
        <v>4</v>
      </c>
      <c r="AQ25" s="4">
        <f>IF(AND(AD25=Parâmetros!$J$4,AN25="C"),S25,0)</f>
        <v>0</v>
      </c>
      <c r="AR25" s="4">
        <f>IF(AND(AD25=Parâmetros!$J$4,AN25="O"),S25,0)</f>
        <v>0</v>
      </c>
      <c r="AS25" s="4">
        <f>IF(AND(AD25=Parâmetros!$J$5,AN25="C"),S25,0)</f>
        <v>0</v>
      </c>
      <c r="AT25" s="4">
        <f>IF(AND(AD25=Parâmetros!$J$5,AN25="O"),S25,0)</f>
        <v>0</v>
      </c>
    </row>
    <row r="26" spans="1:46" ht="15" customHeight="1" x14ac:dyDescent="0.25">
      <c r="A26" s="11" t="s">
        <v>152</v>
      </c>
      <c r="B26" s="83" t="s">
        <v>25</v>
      </c>
      <c r="C26" s="40" t="s">
        <v>168</v>
      </c>
      <c r="D26" s="11" t="s">
        <v>169</v>
      </c>
      <c r="E26" s="11"/>
      <c r="F26" s="35">
        <v>0</v>
      </c>
      <c r="G26" s="11" t="s">
        <v>26</v>
      </c>
      <c r="H26" s="32" t="s">
        <v>27</v>
      </c>
      <c r="I26" s="31" t="s">
        <v>28</v>
      </c>
      <c r="J26" s="32" t="s">
        <v>29</v>
      </c>
      <c r="K26" s="11" t="str">
        <f>_xlfn.XLOOKUP(Planilha!$J26,Tabela9[Pessoas],Tabela9[UUID Jira])</f>
        <v>712020:8364b9cf-88a2-4399-9f86-fff7bed77ce2</v>
      </c>
      <c r="L26" s="32" t="s">
        <v>94</v>
      </c>
      <c r="M26" s="11" t="str">
        <f>_xlfn.XLOOKUP(Planilha!$L26,Tabela9[Pessoas],Tabela9[UUID Jira])</f>
        <v>6245e14af6a26900695d5c1c</v>
      </c>
      <c r="N26" s="11" t="s">
        <v>170</v>
      </c>
      <c r="O26" s="11" t="s">
        <v>170</v>
      </c>
      <c r="P26" s="11" t="s">
        <v>170</v>
      </c>
      <c r="Q26" s="11" t="s">
        <v>67</v>
      </c>
      <c r="R26" s="84" t="s">
        <v>171</v>
      </c>
      <c r="S26" s="10">
        <v>8</v>
      </c>
      <c r="T26" s="11">
        <f>_xlfn.XLOOKUP(S26,Tabela4[Horas],Tabela4[Pontos],,1)</f>
        <v>1</v>
      </c>
      <c r="U26" s="11" t="s">
        <v>172</v>
      </c>
      <c r="V26" s="11" t="s">
        <v>173</v>
      </c>
      <c r="W26" s="11" t="s">
        <v>174</v>
      </c>
      <c r="X26" s="45"/>
      <c r="Y26" s="43" t="str">
        <f t="shared" ref="Y26:Y38" si="12">HYPERLINK("https://tkebrasil.atlassian.net/browse/" &amp; U26,U26)</f>
        <v>ENS-11019</v>
      </c>
      <c r="Z26" s="43" t="str">
        <f t="shared" ref="Z26:Z38" si="13">HYPERLINK("https://tkebrasil.atlassian.net/browse/" &amp; V26,V26)</f>
        <v>ENS-11020</v>
      </c>
      <c r="AA26" s="43" t="str">
        <f t="shared" ref="AA26:AA38" si="14">HYPERLINK("https://tkebrasil.atlassian.net/browse/" &amp; W26,W26)</f>
        <v>ENS-11021</v>
      </c>
      <c r="AB26" s="45"/>
      <c r="AC26" s="44" t="s">
        <v>36</v>
      </c>
      <c r="AD26" s="44" t="s">
        <v>62</v>
      </c>
    </row>
    <row r="27" spans="1:46" ht="15" customHeight="1" x14ac:dyDescent="0.25">
      <c r="A27" s="11" t="s">
        <v>152</v>
      </c>
      <c r="B27" s="83" t="s">
        <v>25</v>
      </c>
      <c r="C27" s="40">
        <v>0</v>
      </c>
      <c r="D27" s="11">
        <v>0</v>
      </c>
      <c r="E27" s="11"/>
      <c r="F27" s="35">
        <v>0</v>
      </c>
      <c r="G27" s="11" t="s">
        <v>26</v>
      </c>
      <c r="H27" s="32" t="s">
        <v>40</v>
      </c>
      <c r="I27" s="31" t="s">
        <v>28</v>
      </c>
      <c r="J27" s="32" t="s">
        <v>29</v>
      </c>
      <c r="K27" s="11" t="str">
        <f>_xlfn.XLOOKUP(Planilha!$J27,Tabela9[Pessoas],Tabela9[UUID Jira])</f>
        <v>712020:8364b9cf-88a2-4399-9f86-fff7bed77ce2</v>
      </c>
      <c r="L27" s="40" t="s">
        <v>57</v>
      </c>
      <c r="M27" s="11" t="str">
        <f>_xlfn.XLOOKUP(Planilha!$L27,Tabela9[Pessoas],Tabela9[UUID Jira])</f>
        <v>557058:43e80a76-deba-4dd8-b64d-c7c8e99c6312</v>
      </c>
      <c r="N27" s="11" t="s">
        <v>175</v>
      </c>
      <c r="O27" s="11" t="s">
        <v>176</v>
      </c>
      <c r="P27" s="11" t="s">
        <v>177</v>
      </c>
      <c r="Q27" s="11" t="s">
        <v>67</v>
      </c>
      <c r="R27" s="36" t="s">
        <v>110</v>
      </c>
      <c r="S27" s="10">
        <v>2</v>
      </c>
      <c r="T27" s="11">
        <f>_xlfn.XLOOKUP(S27,Tabela4[Horas],Tabela4[Pontos],,1)</f>
        <v>0.5</v>
      </c>
      <c r="U27" s="11" t="s">
        <v>178</v>
      </c>
      <c r="V27" s="11" t="s">
        <v>179</v>
      </c>
      <c r="W27" s="11" t="s">
        <v>180</v>
      </c>
      <c r="X27" s="45"/>
      <c r="Y27" s="43" t="str">
        <f t="shared" si="12"/>
        <v>ENS-11022</v>
      </c>
      <c r="Z27" s="43" t="str">
        <f t="shared" si="13"/>
        <v>ENS-11023</v>
      </c>
      <c r="AA27" s="43" t="str">
        <f t="shared" si="14"/>
        <v>ENS-11024</v>
      </c>
      <c r="AB27" s="45"/>
      <c r="AC27" s="44"/>
      <c r="AD27" s="44" t="s">
        <v>62</v>
      </c>
    </row>
    <row r="28" spans="1:46" ht="15" customHeight="1" x14ac:dyDescent="0.25">
      <c r="A28" s="11" t="s">
        <v>152</v>
      </c>
      <c r="B28" s="83" t="s">
        <v>25</v>
      </c>
      <c r="C28" s="40">
        <v>0</v>
      </c>
      <c r="D28" s="11">
        <v>0</v>
      </c>
      <c r="E28" s="11"/>
      <c r="F28" s="35">
        <v>0</v>
      </c>
      <c r="G28" s="11" t="s">
        <v>26</v>
      </c>
      <c r="H28" s="32" t="s">
        <v>40</v>
      </c>
      <c r="I28" s="31" t="s">
        <v>28</v>
      </c>
      <c r="J28" s="32" t="s">
        <v>29</v>
      </c>
      <c r="K28" s="11" t="str">
        <f>_xlfn.XLOOKUP(Planilha!$J28,Tabela9[Pessoas],Tabela9[UUID Jira])</f>
        <v>712020:8364b9cf-88a2-4399-9f86-fff7bed77ce2</v>
      </c>
      <c r="L28" s="40" t="s">
        <v>57</v>
      </c>
      <c r="M28" s="11" t="str">
        <f>_xlfn.XLOOKUP(Planilha!$L28,Tabela9[Pessoas],Tabela9[UUID Jira])</f>
        <v>557058:43e80a76-deba-4dd8-b64d-c7c8e99c6312</v>
      </c>
      <c r="N28" s="11" t="s">
        <v>181</v>
      </c>
      <c r="O28" s="11" t="s">
        <v>182</v>
      </c>
      <c r="P28" s="11" t="s">
        <v>183</v>
      </c>
      <c r="Q28" s="11" t="s">
        <v>67</v>
      </c>
      <c r="R28" s="36" t="s">
        <v>110</v>
      </c>
      <c r="S28" s="10">
        <v>2</v>
      </c>
      <c r="T28" s="11">
        <f>_xlfn.XLOOKUP(S28,Tabela4[Horas],Tabela4[Pontos],,1)</f>
        <v>0.5</v>
      </c>
      <c r="U28" s="11" t="s">
        <v>184</v>
      </c>
      <c r="V28" s="11" t="s">
        <v>185</v>
      </c>
      <c r="W28" s="11" t="s">
        <v>186</v>
      </c>
      <c r="X28" s="45"/>
      <c r="Y28" s="43" t="str">
        <f t="shared" si="12"/>
        <v>ENS-11025</v>
      </c>
      <c r="Z28" s="43" t="str">
        <f t="shared" si="13"/>
        <v>ENS-11026</v>
      </c>
      <c r="AA28" s="43" t="str">
        <f t="shared" si="14"/>
        <v>ENS-11027</v>
      </c>
      <c r="AB28" s="45"/>
      <c r="AC28" s="44"/>
      <c r="AD28" s="44" t="s">
        <v>62</v>
      </c>
    </row>
    <row r="29" spans="1:46" ht="15" customHeight="1" x14ac:dyDescent="0.25">
      <c r="A29" s="11" t="s">
        <v>152</v>
      </c>
      <c r="B29" s="83" t="s">
        <v>25</v>
      </c>
      <c r="C29" s="40">
        <v>0</v>
      </c>
      <c r="D29" s="11">
        <v>0</v>
      </c>
      <c r="E29" s="11"/>
      <c r="F29" s="35">
        <v>0</v>
      </c>
      <c r="G29" s="11" t="s">
        <v>26</v>
      </c>
      <c r="H29" s="32" t="s">
        <v>40</v>
      </c>
      <c r="I29" s="31" t="s">
        <v>28</v>
      </c>
      <c r="J29" s="32" t="s">
        <v>29</v>
      </c>
      <c r="K29" s="11" t="str">
        <f>_xlfn.XLOOKUP(Planilha!$J29,Tabela9[Pessoas],Tabela9[UUID Jira])</f>
        <v>712020:8364b9cf-88a2-4399-9f86-fff7bed77ce2</v>
      </c>
      <c r="L29" s="40" t="s">
        <v>57</v>
      </c>
      <c r="M29" s="11" t="str">
        <f>_xlfn.XLOOKUP(Planilha!$L29,Tabela9[Pessoas],Tabela9[UUID Jira])</f>
        <v>557058:43e80a76-deba-4dd8-b64d-c7c8e99c6312</v>
      </c>
      <c r="N29" s="11" t="s">
        <v>187</v>
      </c>
      <c r="O29" s="11" t="s">
        <v>188</v>
      </c>
      <c r="P29" s="11" t="s">
        <v>189</v>
      </c>
      <c r="Q29" s="11" t="s">
        <v>67</v>
      </c>
      <c r="R29" s="36" t="s">
        <v>110</v>
      </c>
      <c r="S29" s="10">
        <v>2</v>
      </c>
      <c r="T29" s="11">
        <f>_xlfn.XLOOKUP(S29,Tabela4[Horas],Tabela4[Pontos],,1)</f>
        <v>0.5</v>
      </c>
      <c r="U29" s="11" t="s">
        <v>190</v>
      </c>
      <c r="V29" s="11" t="s">
        <v>191</v>
      </c>
      <c r="W29" s="11" t="s">
        <v>192</v>
      </c>
      <c r="X29" s="45"/>
      <c r="Y29" s="43" t="str">
        <f t="shared" si="12"/>
        <v>ENS-11028</v>
      </c>
      <c r="Z29" s="43" t="str">
        <f t="shared" si="13"/>
        <v>ENS-11029</v>
      </c>
      <c r="AA29" s="43" t="str">
        <f t="shared" si="14"/>
        <v>ENS-11030</v>
      </c>
      <c r="AB29" s="45"/>
      <c r="AC29" s="44"/>
      <c r="AD29" s="44" t="s">
        <v>62</v>
      </c>
    </row>
    <row r="30" spans="1:46" ht="15" customHeight="1" x14ac:dyDescent="0.25">
      <c r="A30" s="11" t="s">
        <v>152</v>
      </c>
      <c r="B30" s="83" t="s">
        <v>25</v>
      </c>
      <c r="C30" s="40">
        <v>0</v>
      </c>
      <c r="D30" s="11">
        <v>0</v>
      </c>
      <c r="E30" s="11"/>
      <c r="F30" s="35">
        <v>0</v>
      </c>
      <c r="G30" s="11" t="s">
        <v>26</v>
      </c>
      <c r="H30" s="32" t="s">
        <v>40</v>
      </c>
      <c r="I30" s="31" t="s">
        <v>28</v>
      </c>
      <c r="J30" s="32" t="s">
        <v>29</v>
      </c>
      <c r="K30" s="11" t="str">
        <f>_xlfn.XLOOKUP(Planilha!$J30,Tabela9[Pessoas],Tabela9[UUID Jira])</f>
        <v>712020:8364b9cf-88a2-4399-9f86-fff7bed77ce2</v>
      </c>
      <c r="L30" s="40" t="s">
        <v>57</v>
      </c>
      <c r="M30" s="11" t="str">
        <f>_xlfn.XLOOKUP(Planilha!$L30,Tabela9[Pessoas],Tabela9[UUID Jira])</f>
        <v>557058:43e80a76-deba-4dd8-b64d-c7c8e99c6312</v>
      </c>
      <c r="N30" s="11" t="s">
        <v>193</v>
      </c>
      <c r="O30" s="11" t="s">
        <v>194</v>
      </c>
      <c r="P30" s="11" t="s">
        <v>195</v>
      </c>
      <c r="Q30" s="11" t="s">
        <v>67</v>
      </c>
      <c r="R30" s="36" t="s">
        <v>110</v>
      </c>
      <c r="S30" s="10">
        <v>2</v>
      </c>
      <c r="T30" s="11">
        <f>_xlfn.XLOOKUP(S30,Tabela4[Horas],Tabela4[Pontos],,1)</f>
        <v>0.5</v>
      </c>
      <c r="U30" s="11" t="s">
        <v>196</v>
      </c>
      <c r="V30" s="11" t="s">
        <v>197</v>
      </c>
      <c r="W30" s="11" t="s">
        <v>198</v>
      </c>
      <c r="X30" s="45"/>
      <c r="Y30" s="43" t="str">
        <f t="shared" si="12"/>
        <v>ENS-11031</v>
      </c>
      <c r="Z30" s="43" t="str">
        <f t="shared" si="13"/>
        <v>ENS-11032</v>
      </c>
      <c r="AA30" s="43" t="str">
        <f t="shared" si="14"/>
        <v>ENS-11033</v>
      </c>
      <c r="AB30" s="45"/>
      <c r="AC30" s="44"/>
      <c r="AD30" s="44" t="s">
        <v>62</v>
      </c>
    </row>
    <row r="31" spans="1:46" ht="15" customHeight="1" x14ac:dyDescent="0.25">
      <c r="A31" s="11" t="s">
        <v>152</v>
      </c>
      <c r="B31" s="83" t="s">
        <v>25</v>
      </c>
      <c r="C31" s="40">
        <v>0</v>
      </c>
      <c r="D31" s="11">
        <v>0</v>
      </c>
      <c r="E31" s="11"/>
      <c r="F31" s="35">
        <v>0</v>
      </c>
      <c r="G31" s="11" t="s">
        <v>26</v>
      </c>
      <c r="H31" s="32" t="s">
        <v>40</v>
      </c>
      <c r="I31" s="31" t="s">
        <v>28</v>
      </c>
      <c r="J31" s="32" t="s">
        <v>29</v>
      </c>
      <c r="K31" s="11" t="str">
        <f>_xlfn.XLOOKUP(Planilha!$J31,Tabela9[Pessoas],Tabela9[UUID Jira])</f>
        <v>712020:8364b9cf-88a2-4399-9f86-fff7bed77ce2</v>
      </c>
      <c r="L31" s="40" t="s">
        <v>57</v>
      </c>
      <c r="M31" s="11" t="str">
        <f>_xlfn.XLOOKUP(Planilha!$L31,Tabela9[Pessoas],Tabela9[UUID Jira])</f>
        <v>557058:43e80a76-deba-4dd8-b64d-c7c8e99c6312</v>
      </c>
      <c r="N31" s="11" t="s">
        <v>199</v>
      </c>
      <c r="O31" s="11" t="s">
        <v>200</v>
      </c>
      <c r="P31" s="11" t="s">
        <v>201</v>
      </c>
      <c r="Q31" s="11" t="s">
        <v>67</v>
      </c>
      <c r="R31" s="36" t="s">
        <v>110</v>
      </c>
      <c r="S31" s="10">
        <v>2</v>
      </c>
      <c r="T31" s="11">
        <f>_xlfn.XLOOKUP(S31,Tabela4[Horas],Tabela4[Pontos],,1)</f>
        <v>0.5</v>
      </c>
      <c r="U31" s="11" t="s">
        <v>202</v>
      </c>
      <c r="V31" s="11" t="s">
        <v>203</v>
      </c>
      <c r="W31" s="11" t="s">
        <v>204</v>
      </c>
      <c r="X31" s="45"/>
      <c r="Y31" s="43" t="str">
        <f t="shared" si="12"/>
        <v>ENS-11034</v>
      </c>
      <c r="Z31" s="43" t="str">
        <f t="shared" si="13"/>
        <v>ENS-11035</v>
      </c>
      <c r="AA31" s="43" t="str">
        <f t="shared" si="14"/>
        <v>ENS-11036</v>
      </c>
      <c r="AB31" s="45"/>
      <c r="AC31" s="44"/>
      <c r="AD31" s="44" t="s">
        <v>62</v>
      </c>
    </row>
    <row r="32" spans="1:46" ht="15" customHeight="1" x14ac:dyDescent="0.25">
      <c r="A32" s="11" t="s">
        <v>152</v>
      </c>
      <c r="B32" s="83" t="s">
        <v>25</v>
      </c>
      <c r="C32" s="40">
        <v>0</v>
      </c>
      <c r="D32" s="11">
        <v>0</v>
      </c>
      <c r="E32" s="11"/>
      <c r="F32" s="35">
        <v>0</v>
      </c>
      <c r="G32" s="11" t="s">
        <v>26</v>
      </c>
      <c r="H32" s="32" t="s">
        <v>40</v>
      </c>
      <c r="I32" s="31" t="s">
        <v>28</v>
      </c>
      <c r="J32" s="32" t="s">
        <v>29</v>
      </c>
      <c r="K32" s="11" t="str">
        <f>_xlfn.XLOOKUP(Planilha!$J32,Tabela9[Pessoas],Tabela9[UUID Jira])</f>
        <v>712020:8364b9cf-88a2-4399-9f86-fff7bed77ce2</v>
      </c>
      <c r="L32" s="32" t="s">
        <v>78</v>
      </c>
      <c r="M32" s="11" t="str">
        <f>_xlfn.XLOOKUP(Planilha!$L32,Tabela9[Pessoas],Tabela9[UUID Jira])</f>
        <v>557058:330c824e-66ab-4df0-b7eb-8ddf9d578a4e</v>
      </c>
      <c r="N32" s="11" t="s">
        <v>205</v>
      </c>
      <c r="O32" s="11" t="s">
        <v>206</v>
      </c>
      <c r="P32" s="11" t="s">
        <v>207</v>
      </c>
      <c r="Q32" s="11" t="s">
        <v>67</v>
      </c>
      <c r="R32" s="36" t="s">
        <v>110</v>
      </c>
      <c r="S32" s="10">
        <v>2</v>
      </c>
      <c r="T32" s="11">
        <f>_xlfn.XLOOKUP(S32,Tabela4[Horas],Tabela4[Pontos],,1)</f>
        <v>0.5</v>
      </c>
      <c r="U32" s="11" t="s">
        <v>208</v>
      </c>
      <c r="V32" s="11" t="s">
        <v>209</v>
      </c>
      <c r="W32" s="11" t="s">
        <v>210</v>
      </c>
      <c r="X32" s="45"/>
      <c r="Y32" s="43" t="str">
        <f t="shared" si="12"/>
        <v>ENS-11037</v>
      </c>
      <c r="Z32" s="43" t="str">
        <f t="shared" si="13"/>
        <v>ENS-11038</v>
      </c>
      <c r="AA32" s="43" t="str">
        <f t="shared" si="14"/>
        <v>ENS-11039</v>
      </c>
      <c r="AB32" s="45"/>
      <c r="AC32" s="44"/>
      <c r="AD32" s="44" t="s">
        <v>62</v>
      </c>
    </row>
    <row r="33" spans="1:30" ht="15" customHeight="1" x14ac:dyDescent="0.25">
      <c r="A33" s="11" t="s">
        <v>152</v>
      </c>
      <c r="B33" s="83" t="s">
        <v>25</v>
      </c>
      <c r="C33" s="40">
        <v>0</v>
      </c>
      <c r="D33" s="11">
        <v>0</v>
      </c>
      <c r="E33" s="11"/>
      <c r="F33" s="35">
        <v>0</v>
      </c>
      <c r="G33" s="11" t="s">
        <v>26</v>
      </c>
      <c r="H33" s="32" t="s">
        <v>40</v>
      </c>
      <c r="I33" s="31" t="s">
        <v>28</v>
      </c>
      <c r="J33" s="32" t="s">
        <v>29</v>
      </c>
      <c r="K33" s="11" t="str">
        <f>_xlfn.XLOOKUP(Planilha!$J33,Tabela9[Pessoas],Tabela9[UUID Jira])</f>
        <v>712020:8364b9cf-88a2-4399-9f86-fff7bed77ce2</v>
      </c>
      <c r="L33" s="32" t="s">
        <v>78</v>
      </c>
      <c r="M33" s="11" t="str">
        <f>_xlfn.XLOOKUP(Planilha!$L33,Tabela9[Pessoas],Tabela9[UUID Jira])</f>
        <v>557058:330c824e-66ab-4df0-b7eb-8ddf9d578a4e</v>
      </c>
      <c r="N33" s="11" t="s">
        <v>211</v>
      </c>
      <c r="O33" s="11" t="s">
        <v>212</v>
      </c>
      <c r="P33" s="11" t="s">
        <v>213</v>
      </c>
      <c r="Q33" s="11" t="s">
        <v>67</v>
      </c>
      <c r="R33" s="36" t="s">
        <v>110</v>
      </c>
      <c r="S33" s="10">
        <v>2</v>
      </c>
      <c r="T33" s="11">
        <f>_xlfn.XLOOKUP(S33,Tabela4[Horas],Tabela4[Pontos],,1)</f>
        <v>0.5</v>
      </c>
      <c r="U33" s="11" t="s">
        <v>214</v>
      </c>
      <c r="V33" s="11" t="s">
        <v>215</v>
      </c>
      <c r="W33" s="11" t="s">
        <v>216</v>
      </c>
      <c r="X33" s="45"/>
      <c r="Y33" s="43" t="str">
        <f t="shared" si="12"/>
        <v>ENS-11040</v>
      </c>
      <c r="Z33" s="43" t="str">
        <f t="shared" si="13"/>
        <v>ENS-11041</v>
      </c>
      <c r="AA33" s="43" t="str">
        <f t="shared" si="14"/>
        <v>ENS-11042</v>
      </c>
      <c r="AB33" s="45"/>
      <c r="AC33" s="44"/>
      <c r="AD33" s="44" t="s">
        <v>62</v>
      </c>
    </row>
    <row r="34" spans="1:30" ht="15" customHeight="1" x14ac:dyDescent="0.25">
      <c r="A34" s="11" t="s">
        <v>152</v>
      </c>
      <c r="B34" s="83" t="s">
        <v>25</v>
      </c>
      <c r="C34" s="40">
        <v>0</v>
      </c>
      <c r="D34" s="11">
        <v>0</v>
      </c>
      <c r="E34" s="11"/>
      <c r="F34" s="35">
        <v>0</v>
      </c>
      <c r="G34" s="11" t="s">
        <v>26</v>
      </c>
      <c r="H34" s="32" t="s">
        <v>40</v>
      </c>
      <c r="I34" s="31" t="s">
        <v>28</v>
      </c>
      <c r="J34" s="32" t="s">
        <v>29</v>
      </c>
      <c r="K34" s="11" t="str">
        <f>_xlfn.XLOOKUP(Planilha!$J34,Tabela9[Pessoas],Tabela9[UUID Jira])</f>
        <v>712020:8364b9cf-88a2-4399-9f86-fff7bed77ce2</v>
      </c>
      <c r="L34" s="32" t="s">
        <v>78</v>
      </c>
      <c r="M34" s="11" t="str">
        <f>_xlfn.XLOOKUP(Planilha!$L34,Tabela9[Pessoas],Tabela9[UUID Jira])</f>
        <v>557058:330c824e-66ab-4df0-b7eb-8ddf9d578a4e</v>
      </c>
      <c r="N34" s="11" t="s">
        <v>217</v>
      </c>
      <c r="O34" s="11" t="s">
        <v>218</v>
      </c>
      <c r="P34" s="11" t="s">
        <v>219</v>
      </c>
      <c r="Q34" s="11" t="s">
        <v>67</v>
      </c>
      <c r="R34" s="36" t="s">
        <v>110</v>
      </c>
      <c r="S34" s="10">
        <v>2</v>
      </c>
      <c r="T34" s="11">
        <f>_xlfn.XLOOKUP(S34,Tabela4[Horas],Tabela4[Pontos],,1)</f>
        <v>0.5</v>
      </c>
      <c r="U34" s="11" t="s">
        <v>220</v>
      </c>
      <c r="V34" s="11" t="s">
        <v>221</v>
      </c>
      <c r="W34" s="11" t="s">
        <v>222</v>
      </c>
      <c r="X34" s="45"/>
      <c r="Y34" s="43" t="str">
        <f t="shared" si="12"/>
        <v>ENS-11043</v>
      </c>
      <c r="Z34" s="43" t="str">
        <f t="shared" si="13"/>
        <v>ENS-11044</v>
      </c>
      <c r="AA34" s="43" t="str">
        <f t="shared" si="14"/>
        <v>ENS-11045</v>
      </c>
      <c r="AB34" s="45"/>
      <c r="AC34" s="44"/>
      <c r="AD34" s="44" t="s">
        <v>62</v>
      </c>
    </row>
    <row r="35" spans="1:30" ht="15" customHeight="1" x14ac:dyDescent="0.25">
      <c r="A35" s="11" t="s">
        <v>152</v>
      </c>
      <c r="B35" s="83" t="s">
        <v>25</v>
      </c>
      <c r="C35" s="40">
        <v>0</v>
      </c>
      <c r="D35" s="11">
        <v>0</v>
      </c>
      <c r="E35" s="11"/>
      <c r="F35" s="35">
        <v>0</v>
      </c>
      <c r="G35" s="11" t="s">
        <v>26</v>
      </c>
      <c r="H35" s="32" t="s">
        <v>40</v>
      </c>
      <c r="I35" s="31" t="s">
        <v>28</v>
      </c>
      <c r="J35" s="32" t="s">
        <v>29</v>
      </c>
      <c r="K35" s="11" t="str">
        <f>_xlfn.XLOOKUP(Planilha!$J35,Tabela9[Pessoas],Tabela9[UUID Jira])</f>
        <v>712020:8364b9cf-88a2-4399-9f86-fff7bed77ce2</v>
      </c>
      <c r="L35" s="32" t="s">
        <v>78</v>
      </c>
      <c r="M35" s="11" t="str">
        <f>_xlfn.XLOOKUP(Planilha!$L35,Tabela9[Pessoas],Tabela9[UUID Jira])</f>
        <v>557058:330c824e-66ab-4df0-b7eb-8ddf9d578a4e</v>
      </c>
      <c r="N35" s="11" t="s">
        <v>223</v>
      </c>
      <c r="O35" s="11" t="s">
        <v>224</v>
      </c>
      <c r="P35" s="11" t="s">
        <v>225</v>
      </c>
      <c r="Q35" s="11" t="s">
        <v>67</v>
      </c>
      <c r="R35" s="36" t="s">
        <v>110</v>
      </c>
      <c r="S35" s="10">
        <v>2</v>
      </c>
      <c r="T35" s="11">
        <f>_xlfn.XLOOKUP(S35,Tabela4[Horas],Tabela4[Pontos],,1)</f>
        <v>0.5</v>
      </c>
      <c r="U35" s="11" t="s">
        <v>226</v>
      </c>
      <c r="V35" s="11" t="s">
        <v>227</v>
      </c>
      <c r="W35" s="11" t="s">
        <v>228</v>
      </c>
      <c r="X35" s="45"/>
      <c r="Y35" s="43" t="str">
        <f t="shared" si="12"/>
        <v>ENS-11046</v>
      </c>
      <c r="Z35" s="43" t="str">
        <f t="shared" si="13"/>
        <v>ENS-11047</v>
      </c>
      <c r="AA35" s="43" t="str">
        <f t="shared" si="14"/>
        <v>ENS-11048</v>
      </c>
      <c r="AB35" s="45"/>
      <c r="AC35" s="44"/>
      <c r="AD35" s="44" t="s">
        <v>62</v>
      </c>
    </row>
    <row r="36" spans="1:30" ht="15" customHeight="1" x14ac:dyDescent="0.25">
      <c r="A36" s="11" t="s">
        <v>152</v>
      </c>
      <c r="B36" s="83" t="s">
        <v>25</v>
      </c>
      <c r="C36" s="40">
        <v>0</v>
      </c>
      <c r="D36" s="11">
        <v>0</v>
      </c>
      <c r="E36" s="11"/>
      <c r="F36" s="35">
        <v>0</v>
      </c>
      <c r="G36" s="11" t="s">
        <v>26</v>
      </c>
      <c r="H36" s="32" t="s">
        <v>40</v>
      </c>
      <c r="I36" s="31" t="s">
        <v>28</v>
      </c>
      <c r="J36" s="32" t="s">
        <v>29</v>
      </c>
      <c r="K36" s="11" t="str">
        <f>_xlfn.XLOOKUP(Planilha!$J36,Tabela9[Pessoas],Tabela9[UUID Jira])</f>
        <v>712020:8364b9cf-88a2-4399-9f86-fff7bed77ce2</v>
      </c>
      <c r="L36" s="32" t="s">
        <v>78</v>
      </c>
      <c r="M36" s="11" t="str">
        <f>_xlfn.XLOOKUP(Planilha!$L36,Tabela9[Pessoas],Tabela9[UUID Jira])</f>
        <v>557058:330c824e-66ab-4df0-b7eb-8ddf9d578a4e</v>
      </c>
      <c r="N36" s="11" t="s">
        <v>229</v>
      </c>
      <c r="O36" s="11" t="s">
        <v>230</v>
      </c>
      <c r="P36" s="11" t="s">
        <v>231</v>
      </c>
      <c r="Q36" s="11" t="s">
        <v>67</v>
      </c>
      <c r="R36" s="36" t="s">
        <v>110</v>
      </c>
      <c r="S36" s="10">
        <v>2</v>
      </c>
      <c r="T36" s="11">
        <f>_xlfn.XLOOKUP(S36,Tabela4[Horas],Tabela4[Pontos],,1)</f>
        <v>0.5</v>
      </c>
      <c r="U36" s="11" t="s">
        <v>232</v>
      </c>
      <c r="V36" s="11" t="s">
        <v>233</v>
      </c>
      <c r="W36" s="11" t="s">
        <v>234</v>
      </c>
      <c r="X36" s="45"/>
      <c r="Y36" s="43" t="str">
        <f t="shared" si="12"/>
        <v>ENS-11049</v>
      </c>
      <c r="Z36" s="43" t="str">
        <f t="shared" si="13"/>
        <v>ENS-11050</v>
      </c>
      <c r="AA36" s="43" t="str">
        <f t="shared" si="14"/>
        <v>ENS-11051</v>
      </c>
      <c r="AB36" s="45"/>
      <c r="AC36" s="44"/>
      <c r="AD36" s="44" t="s">
        <v>62</v>
      </c>
    </row>
    <row r="37" spans="1:30" ht="15" customHeight="1" x14ac:dyDescent="0.25">
      <c r="A37" s="11" t="s">
        <v>152</v>
      </c>
      <c r="B37" s="83" t="s">
        <v>25</v>
      </c>
      <c r="C37" s="40">
        <v>0</v>
      </c>
      <c r="D37" s="11">
        <v>0</v>
      </c>
      <c r="E37" s="11"/>
      <c r="F37" s="35">
        <v>0</v>
      </c>
      <c r="G37" s="11" t="s">
        <v>26</v>
      </c>
      <c r="H37" s="32" t="s">
        <v>40</v>
      </c>
      <c r="I37" s="31" t="s">
        <v>28</v>
      </c>
      <c r="J37" s="32" t="s">
        <v>29</v>
      </c>
      <c r="K37" s="11" t="str">
        <f>_xlfn.XLOOKUP(Planilha!$J37,Tabela9[Pessoas],Tabela9[UUID Jira])</f>
        <v>712020:8364b9cf-88a2-4399-9f86-fff7bed77ce2</v>
      </c>
      <c r="L37" s="32" t="s">
        <v>78</v>
      </c>
      <c r="M37" s="11" t="str">
        <f>_xlfn.XLOOKUP(Planilha!$L37,Tabela9[Pessoas],Tabela9[UUID Jira])</f>
        <v>557058:330c824e-66ab-4df0-b7eb-8ddf9d578a4e</v>
      </c>
      <c r="N37" s="11" t="s">
        <v>235</v>
      </c>
      <c r="O37" s="11" t="s">
        <v>236</v>
      </c>
      <c r="P37" s="11" t="s">
        <v>237</v>
      </c>
      <c r="Q37" s="11" t="s">
        <v>67</v>
      </c>
      <c r="R37" s="36" t="s">
        <v>110</v>
      </c>
      <c r="S37" s="10">
        <v>2</v>
      </c>
      <c r="T37" s="11">
        <f>_xlfn.XLOOKUP(S37,Tabela4[Horas],Tabela4[Pontos],,1)</f>
        <v>0.5</v>
      </c>
      <c r="U37" s="11" t="s">
        <v>238</v>
      </c>
      <c r="V37" s="11" t="s">
        <v>239</v>
      </c>
      <c r="W37" s="11" t="s">
        <v>240</v>
      </c>
      <c r="X37" s="45"/>
      <c r="Y37" s="43" t="str">
        <f t="shared" si="12"/>
        <v>ENS-11052</v>
      </c>
      <c r="Z37" s="43" t="str">
        <f t="shared" si="13"/>
        <v>ENS-11053</v>
      </c>
      <c r="AA37" s="43" t="str">
        <f t="shared" si="14"/>
        <v>ENS-11054</v>
      </c>
      <c r="AB37" s="45"/>
      <c r="AC37" s="44"/>
      <c r="AD37" s="44" t="s">
        <v>62</v>
      </c>
    </row>
    <row r="38" spans="1:30" ht="15" customHeight="1" x14ac:dyDescent="0.25">
      <c r="A38" s="11" t="s">
        <v>152</v>
      </c>
      <c r="B38" s="83" t="s">
        <v>25</v>
      </c>
      <c r="C38" s="40">
        <v>0</v>
      </c>
      <c r="D38" s="11">
        <v>0</v>
      </c>
      <c r="E38" s="11"/>
      <c r="F38" s="35">
        <v>0</v>
      </c>
      <c r="G38" s="11" t="s">
        <v>26</v>
      </c>
      <c r="H38" s="32" t="s">
        <v>40</v>
      </c>
      <c r="I38" s="31" t="s">
        <v>28</v>
      </c>
      <c r="J38" s="32" t="s">
        <v>29</v>
      </c>
      <c r="K38" s="11" t="str">
        <f>_xlfn.XLOOKUP(Planilha!$J38,Tabela9[Pessoas],Tabela9[UUID Jira])</f>
        <v>712020:8364b9cf-88a2-4399-9f86-fff7bed77ce2</v>
      </c>
      <c r="L38" s="32" t="s">
        <v>94</v>
      </c>
      <c r="M38" s="11" t="str">
        <f>_xlfn.XLOOKUP(Planilha!$L38,Tabela9[Pessoas],Tabela9[UUID Jira])</f>
        <v>6245e14af6a26900695d5c1c</v>
      </c>
      <c r="N38" s="11" t="s">
        <v>241</v>
      </c>
      <c r="O38" s="11" t="s">
        <v>242</v>
      </c>
      <c r="P38" s="11" t="s">
        <v>243</v>
      </c>
      <c r="Q38" s="11" t="s">
        <v>67</v>
      </c>
      <c r="R38" s="36" t="s">
        <v>110</v>
      </c>
      <c r="S38" s="10">
        <v>2</v>
      </c>
      <c r="T38" s="11">
        <f>_xlfn.XLOOKUP(S38,Tabela4[Horas],Tabela4[Pontos],,1)</f>
        <v>0.5</v>
      </c>
      <c r="U38" s="11" t="s">
        <v>244</v>
      </c>
      <c r="V38" s="11" t="s">
        <v>245</v>
      </c>
      <c r="W38" s="11" t="s">
        <v>246</v>
      </c>
      <c r="X38" s="45"/>
      <c r="Y38" s="43" t="str">
        <f t="shared" si="12"/>
        <v>ENS-11055</v>
      </c>
      <c r="Z38" s="43" t="str">
        <f t="shared" si="13"/>
        <v>ENS-11056</v>
      </c>
      <c r="AA38" s="43" t="str">
        <f t="shared" si="14"/>
        <v>ENS-11057</v>
      </c>
      <c r="AB38" s="45"/>
      <c r="AC38" s="44"/>
      <c r="AD38" s="44" t="s">
        <v>62</v>
      </c>
    </row>
  </sheetData>
  <autoFilter ref="A1:W25" xr:uid="{00000000-0009-0000-0000-000000000000}"/>
  <mergeCells count="1">
    <mergeCell ref="X1:AB1"/>
  </mergeCells>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display="mailto:ensemble@thyssenkruppelevadores.com.br" xr:uid="{00000000-0004-0000-0000-000006000000}"/>
    <hyperlink ref="I9" r:id="rId8" display="mailto:ensemble@thyssenkruppelevadores.com.br" xr:uid="{00000000-0004-0000-0000-000007000000}"/>
    <hyperlink ref="I10" r:id="rId9" display="mailto:ensemble@thyssenkruppelevadores.com.br" xr:uid="{00000000-0004-0000-0000-000008000000}"/>
    <hyperlink ref="I11" r:id="rId10" display="mailto:ensemble@thyssenkruppelevadores.com.br" xr:uid="{00000000-0004-0000-0000-000009000000}"/>
    <hyperlink ref="D12" r:id="rId11" xr:uid="{00000000-0004-0000-0000-00000A000000}"/>
    <hyperlink ref="I12" r:id="rId12" display="mailto:ensemble@thyssenkruppelevadores.com.br" xr:uid="{00000000-0004-0000-0000-00000B000000}"/>
    <hyperlink ref="D13" r:id="rId13" xr:uid="{00000000-0004-0000-0000-00000C000000}"/>
    <hyperlink ref="I13" r:id="rId14" display="mailto:ensemble@thyssenkruppelevadores.com.br" xr:uid="{00000000-0004-0000-0000-00000D000000}"/>
    <hyperlink ref="I14" r:id="rId15" display="mailto:ensemble@thyssenkruppelevadores.com.br" xr:uid="{00000000-0004-0000-0000-00000E000000}"/>
    <hyperlink ref="I15" r:id="rId16" display="mailto:ensemble@thyssenkruppelevadores.com.br" xr:uid="{00000000-0004-0000-0000-00000F000000}"/>
    <hyperlink ref="D16" r:id="rId17" xr:uid="{00000000-0004-0000-0000-000010000000}"/>
    <hyperlink ref="I16" r:id="rId18" display="mailto:ensemble@thyssenkruppelevadores.com.br" xr:uid="{00000000-0004-0000-0000-000011000000}"/>
    <hyperlink ref="I17" r:id="rId19" display="mailto:ensemble@thyssenkruppelevadores.com.br" xr:uid="{00000000-0004-0000-0000-000012000000}"/>
    <hyperlink ref="I18" r:id="rId20" display="mailto:ensemble@thyssenkruppelevadores.com.br" xr:uid="{00000000-0004-0000-0000-000013000000}"/>
    <hyperlink ref="I19" r:id="rId21" display="mailto:ensemble@thyssenkruppelevadores.com.br" xr:uid="{00000000-0004-0000-0000-000014000000}"/>
    <hyperlink ref="I20" r:id="rId22" display="mailto:ensemble@thyssenkruppelevadores.com.br" xr:uid="{00000000-0004-0000-0000-000015000000}"/>
    <hyperlink ref="I21" r:id="rId23" xr:uid="{00000000-0004-0000-0000-000016000000}"/>
    <hyperlink ref="I22" r:id="rId24" xr:uid="{00000000-0004-0000-0000-000017000000}"/>
    <hyperlink ref="I23" r:id="rId25" xr:uid="{00000000-0004-0000-0000-000018000000}"/>
    <hyperlink ref="I24" r:id="rId26" xr:uid="{00000000-0004-0000-0000-000019000000}"/>
    <hyperlink ref="I25" r:id="rId27" xr:uid="{00000000-0004-0000-0000-00001A000000}"/>
    <hyperlink ref="I26" r:id="rId28" xr:uid="{00000000-0004-0000-0000-00001B000000}"/>
    <hyperlink ref="I27" r:id="rId29" xr:uid="{00000000-0004-0000-0000-00001C000000}"/>
    <hyperlink ref="I28" r:id="rId30" xr:uid="{00000000-0004-0000-0000-00001D000000}"/>
    <hyperlink ref="I29" r:id="rId31" xr:uid="{00000000-0004-0000-0000-00001E000000}"/>
    <hyperlink ref="I30" r:id="rId32" xr:uid="{00000000-0004-0000-0000-00001F000000}"/>
    <hyperlink ref="I31" r:id="rId33" xr:uid="{00000000-0004-0000-0000-000020000000}"/>
    <hyperlink ref="I32" r:id="rId34" xr:uid="{00000000-0004-0000-0000-000021000000}"/>
    <hyperlink ref="I33" r:id="rId35" xr:uid="{00000000-0004-0000-0000-000022000000}"/>
    <hyperlink ref="I34" r:id="rId36" xr:uid="{00000000-0004-0000-0000-000023000000}"/>
    <hyperlink ref="I35" r:id="rId37" xr:uid="{00000000-0004-0000-0000-000024000000}"/>
    <hyperlink ref="I36" r:id="rId38" xr:uid="{00000000-0004-0000-0000-000025000000}"/>
    <hyperlink ref="I37" r:id="rId39" xr:uid="{00000000-0004-0000-0000-000026000000}"/>
    <hyperlink ref="I38" r:id="rId40" xr:uid="{00000000-0004-0000-0000-000027000000}"/>
  </hyperlinks>
  <pageMargins left="0.511811024" right="0.511811024" top="0.78740157499999996" bottom="0.78740157499999996" header="0.31496062000000002" footer="0.31496062000000002"/>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155"/>
  <sheetViews>
    <sheetView workbookViewId="0">
      <selection activeCell="H162" sqref="H162"/>
    </sheetView>
  </sheetViews>
  <sheetFormatPr defaultRowHeight="15" x14ac:dyDescent="0.25"/>
  <cols>
    <col min="1" max="1" width="10.85546875" style="77" bestFit="1" customWidth="1"/>
    <col min="2" max="2" width="15" bestFit="1" customWidth="1"/>
    <col min="3" max="3" width="15.7109375" bestFit="1" customWidth="1"/>
    <col min="4" max="4" width="25.140625" bestFit="1" customWidth="1"/>
    <col min="5" max="5" width="8.7109375" bestFit="1" customWidth="1"/>
    <col min="6" max="6" width="59" style="69" customWidth="1"/>
  </cols>
  <sheetData>
    <row r="1" spans="1:6" x14ac:dyDescent="0.25">
      <c r="A1" s="75" t="s">
        <v>23</v>
      </c>
      <c r="B1" s="70" t="s">
        <v>2</v>
      </c>
      <c r="C1" s="70" t="s">
        <v>247</v>
      </c>
      <c r="D1" s="70" t="s">
        <v>11</v>
      </c>
      <c r="E1" s="70" t="s">
        <v>18</v>
      </c>
      <c r="F1" s="71" t="s">
        <v>248</v>
      </c>
    </row>
    <row r="2" spans="1:6" hidden="1" x14ac:dyDescent="0.25">
      <c r="A2" s="76" t="str">
        <f>HYPERLINK("https://tkebrasil.atlassian.net/browse/" &amp; Planilha!AA2,Planilha!AA2)</f>
        <v>ENS-10974</v>
      </c>
      <c r="B2" s="72">
        <f>Planilha!C2</f>
        <v>0</v>
      </c>
      <c r="C2" s="72">
        <f>Planilha!D2</f>
        <v>0</v>
      </c>
      <c r="D2" s="72" t="str">
        <f>Planilha!L2</f>
        <v>Alexandre Trindade Pereira</v>
      </c>
      <c r="E2" s="73">
        <f>Planilha!S2</f>
        <v>10</v>
      </c>
      <c r="F2" s="74" t="str">
        <f>Planilha!P2</f>
        <v>Confeccionar logs para auditoria</v>
      </c>
    </row>
    <row r="3" spans="1:6" x14ac:dyDescent="0.25">
      <c r="A3" s="76" t="str">
        <f>HYPERLINK("https://tkebrasil.atlassian.net/browse/" &amp; Planilha!AA3,Planilha!AA3)</f>
        <v>ENS-10976</v>
      </c>
      <c r="B3" s="72" t="str">
        <f>Planilha!C3</f>
        <v>REQ0339905</v>
      </c>
      <c r="C3" s="72" t="str">
        <f>Planilha!D3</f>
        <v>SCTASK0581534</v>
      </c>
      <c r="D3" s="72" t="str">
        <f>Planilha!L3</f>
        <v>Tanise Sarmento</v>
      </c>
      <c r="E3" s="73">
        <f>Planilha!S3</f>
        <v>2</v>
      </c>
      <c r="F3" s="74" t="str">
        <f>Planilha!P3</f>
        <v>PO &amp; GP - Menus Intec</v>
      </c>
    </row>
    <row r="4" spans="1:6" hidden="1" x14ac:dyDescent="0.25">
      <c r="A4" s="76">
        <f>HYPERLINK("https://tkebrasil.atlassian.net/browse/" &amp; Planilha!AA4,Planilha!AA4)</f>
        <v>0</v>
      </c>
      <c r="B4" s="72">
        <f>Planilha!C4</f>
        <v>0</v>
      </c>
      <c r="C4" s="72">
        <f>Planilha!D4</f>
        <v>0</v>
      </c>
      <c r="D4" s="72" t="str">
        <f>Planilha!L4</f>
        <v>Tanise Sarmento</v>
      </c>
      <c r="E4" s="73">
        <f>Planilha!S4</f>
        <v>10</v>
      </c>
      <c r="F4" s="74" t="str">
        <f>Planilha!P4</f>
        <v>PO - Sprint</v>
      </c>
    </row>
    <row r="5" spans="1:6" x14ac:dyDescent="0.25">
      <c r="A5" s="76" t="str">
        <f>HYPERLINK("https://tkebrasil.atlassian.net/browse/" &amp; Planilha!AA5,Planilha!AA5)</f>
        <v>ENS-10981</v>
      </c>
      <c r="B5" s="72" t="str">
        <f>Planilha!C5</f>
        <v>TKE China</v>
      </c>
      <c r="C5" s="72" t="str">
        <f>Planilha!D5</f>
        <v>TKE China</v>
      </c>
      <c r="D5" s="72" t="str">
        <f>Planilha!L5</f>
        <v>Tanise Sarmento</v>
      </c>
      <c r="E5" s="73">
        <f>Planilha!S5</f>
        <v>3</v>
      </c>
      <c r="F5" s="74" t="str">
        <f>Planilha!P5</f>
        <v>PO - TKE China</v>
      </c>
    </row>
    <row r="6" spans="1:6" hidden="1" x14ac:dyDescent="0.25">
      <c r="A6" s="76" t="str">
        <f>HYPERLINK("https://tkebrasil.atlassian.net/browse/" &amp; Planilha!AA6,Planilha!AA6)</f>
        <v>ENS-10983</v>
      </c>
      <c r="B6" s="72">
        <f>Planilha!C6</f>
        <v>0</v>
      </c>
      <c r="C6" s="72">
        <f>Planilha!D6</f>
        <v>0</v>
      </c>
      <c r="D6" s="72" t="str">
        <f>Planilha!L6</f>
        <v>Luis Henrique Petkovicz</v>
      </c>
      <c r="E6" s="73">
        <f>Planilha!S6</f>
        <v>10</v>
      </c>
      <c r="F6" s="74" t="str">
        <f>Planilha!P6</f>
        <v>Atividades Administrativas</v>
      </c>
    </row>
    <row r="7" spans="1:6" x14ac:dyDescent="0.25">
      <c r="A7" s="76" t="str">
        <f>HYPERLINK("https://tkebrasil.atlassian.net/browse/" &amp; Planilha!AA7,Planilha!AA7)</f>
        <v>ENS-10985</v>
      </c>
      <c r="B7" s="72" t="str">
        <f>Planilha!C7</f>
        <v>REQ0377661</v>
      </c>
      <c r="C7" s="72" t="str">
        <f>Planilha!D7</f>
        <v>SCTASK0579990</v>
      </c>
      <c r="D7" s="72" t="str">
        <f>Planilha!L7</f>
        <v>Pablo Rocha</v>
      </c>
      <c r="E7" s="73">
        <f>Planilha!S7</f>
        <v>4</v>
      </c>
      <c r="F7" s="74" t="str">
        <f>Planilha!P7</f>
        <v xml:space="preserve"> Integração de Margens entre GUS e E‑Sales</v>
      </c>
    </row>
    <row r="8" spans="1:6" hidden="1" x14ac:dyDescent="0.25">
      <c r="A8" s="76" t="str">
        <f>HYPERLINK("https://tkebrasil.atlassian.net/browse/" &amp; Planilha!AA8,Planilha!AA8)</f>
        <v>ENS-10987</v>
      </c>
      <c r="B8" s="72">
        <f>Planilha!C8</f>
        <v>0</v>
      </c>
      <c r="C8" s="72">
        <f>Planilha!D8</f>
        <v>0</v>
      </c>
      <c r="D8" s="72" t="str">
        <f>Planilha!L8</f>
        <v>Luis Henrique Petkovicz</v>
      </c>
      <c r="E8" s="73">
        <f>Planilha!S8</f>
        <v>2</v>
      </c>
      <c r="F8" s="74" t="str">
        <f>Planilha!P8</f>
        <v>Alterar logs do IRIS para tabela federada 1</v>
      </c>
    </row>
    <row r="9" spans="1:6" hidden="1" x14ac:dyDescent="0.25">
      <c r="A9" s="76" t="str">
        <f>HYPERLINK("https://tkebrasil.atlassian.net/browse/" &amp; Planilha!AA9,Planilha!AA9)</f>
        <v>ENS-10989</v>
      </c>
      <c r="B9" s="72">
        <f>Planilha!C9</f>
        <v>0</v>
      </c>
      <c r="C9" s="72">
        <f>Planilha!D9</f>
        <v>0</v>
      </c>
      <c r="D9" s="72" t="str">
        <f>Planilha!L9</f>
        <v>Regina Albanus</v>
      </c>
      <c r="E9" s="73">
        <f>Planilha!S9</f>
        <v>2</v>
      </c>
      <c r="F9" s="74" t="str">
        <f>Planilha!P9</f>
        <v>Alterar logs do IRIS para tabela federada 2</v>
      </c>
    </row>
    <row r="10" spans="1:6" hidden="1" x14ac:dyDescent="0.25">
      <c r="A10" s="76" t="str">
        <f>HYPERLINK("https://tkebrasil.atlassian.net/browse/" &amp; Planilha!AA10,Planilha!AA10)</f>
        <v>ENS-10991</v>
      </c>
      <c r="B10" s="72">
        <f>Planilha!C10</f>
        <v>0</v>
      </c>
      <c r="C10" s="72">
        <f>Planilha!D10</f>
        <v>0</v>
      </c>
      <c r="D10" s="72" t="str">
        <f>Planilha!L10</f>
        <v>Pablo Rocha</v>
      </c>
      <c r="E10" s="73">
        <f>Planilha!S10</f>
        <v>10</v>
      </c>
      <c r="F10" s="74" t="str">
        <f>Planilha!P10</f>
        <v>Alterar logs do IRIS para tabela federada 3</v>
      </c>
    </row>
    <row r="11" spans="1:6" x14ac:dyDescent="0.25">
      <c r="A11" s="76" t="str">
        <f>HYPERLINK("https://tkebrasil.atlassian.net/browse/" &amp; Planilha!AA11,Planilha!AA11)</f>
        <v>ENS-10993</v>
      </c>
      <c r="B11" s="72" t="str">
        <f>Planilha!C11</f>
        <v>CR AP Summary</v>
      </c>
      <c r="C11" s="72" t="str">
        <f>Planilha!D11</f>
        <v>CR AP Summary</v>
      </c>
      <c r="D11" s="72" t="str">
        <f>Planilha!L11</f>
        <v>Regina Albanus</v>
      </c>
      <c r="E11" s="73">
        <f>Planilha!S11</f>
        <v>2</v>
      </c>
      <c r="F11" s="74" t="str">
        <f>Planilha!P11</f>
        <v>Alteração da interface Sincrona para Assincrona do AP Summary</v>
      </c>
    </row>
    <row r="12" spans="1:6" ht="90.75" customHeight="1" x14ac:dyDescent="0.25">
      <c r="A12" s="76" t="str">
        <f>HYPERLINK("https://tkebrasil.atlassian.net/browse/" &amp; Planilha!AA12,Planilha!AA12)</f>
        <v>ENS-10995</v>
      </c>
      <c r="B12" s="72" t="str">
        <f>Planilha!C12</f>
        <v>REQ0505088</v>
      </c>
      <c r="C12" s="72" t="str">
        <f>Planilha!D12</f>
        <v>SCTASK0704281</v>
      </c>
      <c r="D12" s="72" t="str">
        <f>Planilha!L12</f>
        <v>Luiz Felipe Brandão da Silva</v>
      </c>
      <c r="E12" s="73">
        <f>Planilha!S12</f>
        <v>2</v>
      </c>
      <c r="F12" s="74" t="str">
        <f>Planilha!P12</f>
        <v>Alterar na interface PosicaoFinanceira.ContratosContatos para que tivermos erro interno do IRIS, mandar uma mensagem</v>
      </c>
    </row>
    <row r="13" spans="1:6" x14ac:dyDescent="0.25">
      <c r="A13" s="76" t="str">
        <f>HYPERLINK("https://tkebrasil.atlassian.net/browse/" &amp; Planilha!AA13,Planilha!AA13)</f>
        <v>ENS-10997</v>
      </c>
      <c r="B13" s="72" t="str">
        <f>Planilha!C13</f>
        <v>REQ0396346</v>
      </c>
      <c r="C13" s="72" t="str">
        <f>Planilha!D13</f>
        <v>SCTASK0592786</v>
      </c>
      <c r="D13" s="72" t="str">
        <f>Planilha!L13</f>
        <v>Pablo Rocha</v>
      </c>
      <c r="E13" s="73">
        <f>Planilha!S13</f>
        <v>2</v>
      </c>
      <c r="F13" s="74" t="str">
        <f>Planilha!P13</f>
        <v>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v>
      </c>
    </row>
    <row r="14" spans="1:6" x14ac:dyDescent="0.25">
      <c r="A14" s="76" t="str">
        <f>HYPERLINK("https://tkebrasil.atlassian.net/browse/" &amp; Planilha!AA14,Planilha!AA14)</f>
        <v>ENS-10999</v>
      </c>
      <c r="B14" s="72" t="str">
        <f>Planilha!C14</f>
        <v>REQ0522963</v>
      </c>
      <c r="C14" s="72" t="str">
        <f>Planilha!D14</f>
        <v>SCTASK0727583</v>
      </c>
      <c r="D14" s="72" t="str">
        <f>Planilha!L14</f>
        <v>Luiz Felipe Brandão da Silva</v>
      </c>
      <c r="E14" s="73">
        <f>Planilha!S14</f>
        <v>2</v>
      </c>
      <c r="F14" s="74" t="str">
        <f>Planilha!P14</f>
        <v>Criar alerta quando mensagem da Adobe chegar no webhook</v>
      </c>
    </row>
    <row r="15" spans="1:6" x14ac:dyDescent="0.25">
      <c r="A15" s="76" t="str">
        <f>HYPERLINK("https://tkebrasil.atlassian.net/browse/" &amp; Planilha!AA15,Planilha!AA15)</f>
        <v>ENS-11001</v>
      </c>
      <c r="B15" s="72" t="str">
        <f>Planilha!C15</f>
        <v>REQ0522901</v>
      </c>
      <c r="C15" s="72" t="str">
        <f>Planilha!D15</f>
        <v>SCTASK0727520</v>
      </c>
      <c r="D15" s="72" t="str">
        <f>Planilha!L15</f>
        <v>Regina Albanus</v>
      </c>
      <c r="E15" s="73">
        <f>Planilha!S15</f>
        <v>4</v>
      </c>
      <c r="F15" s="74" t="str">
        <f>Planilha!P15</f>
        <v>Implementar API Soluti timestamp</v>
      </c>
    </row>
    <row r="16" spans="1:6" x14ac:dyDescent="0.25">
      <c r="A16" s="76" t="str">
        <f>HYPERLINK("https://tkebrasil.atlassian.net/browse/" &amp; Planilha!AA16,Planilha!AA16)</f>
        <v>ENS-11003</v>
      </c>
      <c r="B16" s="72" t="str">
        <f>Planilha!C16</f>
        <v>REQ0482512</v>
      </c>
      <c r="C16" s="72" t="str">
        <f>Planilha!D16</f>
        <v>SCTASK0708892</v>
      </c>
      <c r="D16" s="72" t="str">
        <f>Planilha!L16</f>
        <v>Pablo Rocha</v>
      </c>
      <c r="E16" s="73">
        <f>Planilha!S16</f>
        <v>2</v>
      </c>
      <c r="F16" s="74" t="str">
        <f>Planilha!P16</f>
        <v>Enviar CPF via jspv</v>
      </c>
    </row>
    <row r="17" spans="1:6" x14ac:dyDescent="0.25">
      <c r="A17" s="76" t="str">
        <f>HYPERLINK("https://tkebrasil.atlassian.net/browse/" &amp; Planilha!AA17,Planilha!AA17)</f>
        <v>ENS-11005</v>
      </c>
      <c r="B17" s="72" t="str">
        <f>Planilha!C17</f>
        <v>REQ0526341</v>
      </c>
      <c r="C17" s="72" t="str">
        <f>Planilha!D17</f>
        <v>SCTASK0744373</v>
      </c>
      <c r="D17" s="72" t="str">
        <f>Planilha!L17</f>
        <v>Luiz Felipe Brandão da Silva</v>
      </c>
      <c r="E17" s="73">
        <f>Planilha!S17</f>
        <v>4</v>
      </c>
      <c r="F17" s="74" t="str">
        <f>Planilha!P17</f>
        <v>Criar um fluxo de dados para capturar as informações de DOT.CALCULO provenientes do Dossiê Técnico</v>
      </c>
    </row>
    <row r="18" spans="1:6" hidden="1" x14ac:dyDescent="0.25">
      <c r="A18" s="76" t="str">
        <f>HYPERLINK("https://tkebrasil.atlassian.net/browse/" &amp; Planilha!AA18,Planilha!AA18)</f>
        <v>ENS-11007</v>
      </c>
      <c r="B18" s="72">
        <f>Planilha!C18</f>
        <v>0</v>
      </c>
      <c r="C18" s="72">
        <f>Planilha!D18</f>
        <v>0</v>
      </c>
      <c r="D18" s="72" t="str">
        <f>Planilha!L18</f>
        <v>Regina Albanus</v>
      </c>
      <c r="E18" s="73">
        <f>Planilha!S18</f>
        <v>2</v>
      </c>
      <c r="F18" s="74" t="str">
        <f>Planilha!P18</f>
        <v>Criar dashboard de negócios do IRIS</v>
      </c>
    </row>
    <row r="19" spans="1:6" x14ac:dyDescent="0.25">
      <c r="A19" s="76" t="str">
        <f>HYPERLINK("https://tkebrasil.atlassian.net/browse/" &amp; Planilha!AA19,Planilha!AA19)</f>
        <v>ENS-11009</v>
      </c>
      <c r="B19" s="72" t="str">
        <f>Planilha!C19</f>
        <v>REQ0525598</v>
      </c>
      <c r="C19" s="72" t="str">
        <f>Planilha!D19</f>
        <v>SCTASK0730907</v>
      </c>
      <c r="D19" s="72" t="str">
        <f>Planilha!L19</f>
        <v>Pablo Rocha</v>
      </c>
      <c r="E19" s="73">
        <f>Planilha!S19</f>
        <v>4</v>
      </c>
      <c r="F19" s="74" t="str">
        <f>Planilha!P19</f>
        <v>Criar e parametrizar IOT Dynamox</v>
      </c>
    </row>
    <row r="20" spans="1:6" x14ac:dyDescent="0.25">
      <c r="A20" s="76" t="str">
        <f>HYPERLINK("https://tkebrasil.atlassian.net/browse/" &amp; Planilha!AA20,Planilha!AA20)</f>
        <v>ENS-11011</v>
      </c>
      <c r="B20" s="72" t="str">
        <f>Planilha!C20</f>
        <v>REQ0305661</v>
      </c>
      <c r="C20" s="72" t="str">
        <f>Planilha!D20</f>
        <v>SCTASK0489536</v>
      </c>
      <c r="D20" s="72" t="str">
        <f>Planilha!L20</f>
        <v>Regina Albanus</v>
      </c>
      <c r="E20" s="73">
        <f>Planilha!S20</f>
        <v>4</v>
      </c>
      <c r="F20" s="74" t="str">
        <f>Planilha!P20</f>
        <v>Implementar a correção da informação apresentada na coluna Centro de Distribuição no relatório Mapa de Fabricação/Expedição do AIT</v>
      </c>
    </row>
    <row r="21" spans="1:6" hidden="1" x14ac:dyDescent="0.25">
      <c r="A21" s="76" t="str">
        <f>HYPERLINK("https://tkebrasil.atlassian.net/browse/" &amp; Planilha!AA21,Planilha!AA21)</f>
        <v>ENS-11013</v>
      </c>
      <c r="B21" s="72">
        <f>Planilha!C21</f>
        <v>0</v>
      </c>
      <c r="C21" s="72">
        <f>Planilha!D21</f>
        <v>0</v>
      </c>
      <c r="D21" s="72" t="str">
        <f>Planilha!L21</f>
        <v>Pablo Rocha</v>
      </c>
      <c r="E21" s="73">
        <f>Planilha!S21</f>
        <v>8</v>
      </c>
      <c r="F21" s="74" t="str">
        <f>Planilha!P21</f>
        <v>VS Code 1</v>
      </c>
    </row>
    <row r="22" spans="1:6" hidden="1" x14ac:dyDescent="0.25">
      <c r="A22" s="76" t="str">
        <f>HYPERLINK("https://tkebrasil.atlassian.net/browse/" &amp; Planilha!AA22,Planilha!AA22)</f>
        <v>ENS-11014</v>
      </c>
      <c r="B22" s="72">
        <f>Planilha!C22</f>
        <v>0</v>
      </c>
      <c r="C22" s="72">
        <f>Planilha!D22</f>
        <v>0</v>
      </c>
      <c r="D22" s="72" t="str">
        <f>Planilha!L22</f>
        <v>Luiz Felipe Brandão da Silva</v>
      </c>
      <c r="E22" s="73">
        <f>Planilha!S22</f>
        <v>4</v>
      </c>
      <c r="F22" s="74" t="str">
        <f>Planilha!P22</f>
        <v>VS Code 2</v>
      </c>
    </row>
    <row r="23" spans="1:6" hidden="1" x14ac:dyDescent="0.25">
      <c r="A23" s="76" t="str">
        <f>HYPERLINK("https://tkebrasil.atlassian.net/browse/" &amp; Planilha!AA23,Planilha!AA23)</f>
        <v>ENS-11015</v>
      </c>
      <c r="B23" s="72">
        <f>Planilha!C23</f>
        <v>0</v>
      </c>
      <c r="C23" s="72">
        <f>Planilha!D23</f>
        <v>0</v>
      </c>
      <c r="D23" s="72" t="str">
        <f>Planilha!L23</f>
        <v>Regina Albanus</v>
      </c>
      <c r="E23" s="73">
        <f>Planilha!S23</f>
        <v>4</v>
      </c>
      <c r="F23" s="74" t="str">
        <f>Planilha!P23</f>
        <v>VS Code 3</v>
      </c>
    </row>
    <row r="24" spans="1:6" hidden="1" x14ac:dyDescent="0.25">
      <c r="A24" s="76" t="str">
        <f>HYPERLINK("https://tkebrasil.atlassian.net/browse/" &amp; Planilha!AA24,Planilha!AA24)</f>
        <v>ENS-11016</v>
      </c>
      <c r="B24" s="72">
        <f>Planilha!C24</f>
        <v>0</v>
      </c>
      <c r="C24" s="72">
        <f>Planilha!D24</f>
        <v>0</v>
      </c>
      <c r="D24" s="72" t="str">
        <f>Planilha!L24</f>
        <v>Luis Henrique Petkovicz</v>
      </c>
      <c r="E24" s="73">
        <f>Planilha!S24</f>
        <v>4</v>
      </c>
      <c r="F24" s="74" t="str">
        <f>Planilha!P24</f>
        <v>VS Code 4</v>
      </c>
    </row>
    <row r="25" spans="1:6" hidden="1" x14ac:dyDescent="0.25">
      <c r="A25" s="76" t="str">
        <f>HYPERLINK("https://tkebrasil.atlassian.net/browse/" &amp; Planilha!AA25,Planilha!AA25)</f>
        <v>ENS-11018</v>
      </c>
      <c r="B25" s="72">
        <f>Planilha!C25</f>
        <v>0</v>
      </c>
      <c r="C25" s="72">
        <f>Planilha!D25</f>
        <v>0</v>
      </c>
      <c r="D25" s="72" t="str">
        <f>Planilha!L25</f>
        <v>Luis Henrique Petkovicz</v>
      </c>
      <c r="E25" s="73">
        <f>Planilha!S25</f>
        <v>4</v>
      </c>
      <c r="F25" s="74" t="str">
        <f>Planilha!P25</f>
        <v>Analisar de depreciação de interfaces</v>
      </c>
    </row>
    <row r="26" spans="1:6" x14ac:dyDescent="0.25">
      <c r="A26" s="76" t="str">
        <f>HYPERLINK("https://tkebrasil.atlassian.net/browse/" &amp; Planilha!AA26,Planilha!AA26)</f>
        <v>ENS-11021</v>
      </c>
      <c r="B26" s="72" t="str">
        <f>Planilha!C26</f>
        <v>REQ0023707</v>
      </c>
      <c r="C26" s="72" t="str">
        <f>Planilha!D26</f>
        <v>SCTASK0027251</v>
      </c>
      <c r="D26" s="72" t="str">
        <f>Planilha!L26</f>
        <v>Luiz Felipe Brandão da Silva</v>
      </c>
      <c r="E26" s="73">
        <f>Planilha!S26</f>
        <v>8</v>
      </c>
      <c r="F26" s="74" t="str">
        <f>Planilha!P26</f>
        <v>Disponibilizar acesso ao fluxo ZP048</v>
      </c>
    </row>
    <row r="27" spans="1:6" hidden="1" x14ac:dyDescent="0.25">
      <c r="A27" s="76" t="str">
        <f>HYPERLINK("https://tkebrasil.atlassian.net/browse/" &amp; Planilha!AA27,Planilha!AA27)</f>
        <v>ENS-11024</v>
      </c>
      <c r="B27" s="72">
        <f>Planilha!C27</f>
        <v>0</v>
      </c>
      <c r="C27" s="72">
        <f>Planilha!D27</f>
        <v>0</v>
      </c>
      <c r="D27" s="72" t="str">
        <f>Planilha!L27</f>
        <v>Luis Henrique Petkovicz</v>
      </c>
      <c r="E27" s="73">
        <f>Planilha!S27</f>
        <v>2</v>
      </c>
      <c r="F27" s="74" t="str">
        <f>Planilha!P27</f>
        <v>Tarefa 1</v>
      </c>
    </row>
    <row r="28" spans="1:6" hidden="1" x14ac:dyDescent="0.25">
      <c r="A28" s="76" t="str">
        <f>HYPERLINK("https://tkebrasil.atlassian.net/browse/" &amp; Planilha!AA28,Planilha!AA28)</f>
        <v>ENS-11027</v>
      </c>
      <c r="B28" s="72">
        <f>Planilha!C28</f>
        <v>0</v>
      </c>
      <c r="C28" s="72">
        <f>Planilha!D28</f>
        <v>0</v>
      </c>
      <c r="D28" s="72" t="str">
        <f>Planilha!L28</f>
        <v>Luis Henrique Petkovicz</v>
      </c>
      <c r="E28" s="73">
        <f>Planilha!S28</f>
        <v>2</v>
      </c>
      <c r="F28" s="74" t="str">
        <f>Planilha!P28</f>
        <v>Tarefa 2</v>
      </c>
    </row>
    <row r="29" spans="1:6" hidden="1" x14ac:dyDescent="0.25">
      <c r="A29" s="76" t="str">
        <f>HYPERLINK("https://tkebrasil.atlassian.net/browse/" &amp; Planilha!AA29,Planilha!AA29)</f>
        <v>ENS-11030</v>
      </c>
      <c r="B29" s="72">
        <f>Planilha!C29</f>
        <v>0</v>
      </c>
      <c r="C29" s="72">
        <f>Planilha!D29</f>
        <v>0</v>
      </c>
      <c r="D29" s="72" t="str">
        <f>Planilha!L29</f>
        <v>Luis Henrique Petkovicz</v>
      </c>
      <c r="E29" s="73">
        <f>Planilha!S29</f>
        <v>2</v>
      </c>
      <c r="F29" s="74" t="str">
        <f>Planilha!P29</f>
        <v>Tarefa 3</v>
      </c>
    </row>
    <row r="30" spans="1:6" hidden="1" x14ac:dyDescent="0.25">
      <c r="A30" s="76" t="str">
        <f>HYPERLINK("https://tkebrasil.atlassian.net/browse/" &amp; Planilha!AA30,Planilha!AA30)</f>
        <v>ENS-11033</v>
      </c>
      <c r="B30" s="72">
        <f>Planilha!C30</f>
        <v>0</v>
      </c>
      <c r="C30" s="72">
        <f>Planilha!D30</f>
        <v>0</v>
      </c>
      <c r="D30" s="72" t="str">
        <f>Planilha!L30</f>
        <v>Luis Henrique Petkovicz</v>
      </c>
      <c r="E30" s="73">
        <f>Planilha!S30</f>
        <v>2</v>
      </c>
      <c r="F30" s="74" t="str">
        <f>Planilha!P30</f>
        <v>Tarefa 4</v>
      </c>
    </row>
    <row r="31" spans="1:6" hidden="1" x14ac:dyDescent="0.25">
      <c r="A31" s="76" t="str">
        <f>HYPERLINK("https://tkebrasil.atlassian.net/browse/" &amp; Planilha!AA31,Planilha!AA31)</f>
        <v>ENS-11036</v>
      </c>
      <c r="B31" s="72">
        <f>Planilha!C31</f>
        <v>0</v>
      </c>
      <c r="C31" s="72">
        <f>Planilha!D31</f>
        <v>0</v>
      </c>
      <c r="D31" s="72" t="str">
        <f>Planilha!L31</f>
        <v>Luis Henrique Petkovicz</v>
      </c>
      <c r="E31" s="73">
        <f>Planilha!S31</f>
        <v>2</v>
      </c>
      <c r="F31" s="74" t="str">
        <f>Planilha!P31</f>
        <v>Tarefa 5</v>
      </c>
    </row>
    <row r="32" spans="1:6" hidden="1" x14ac:dyDescent="0.25">
      <c r="A32" s="76" t="str">
        <f>HYPERLINK("https://tkebrasil.atlassian.net/browse/" &amp; Planilha!AA32,Planilha!AA32)</f>
        <v>ENS-11039</v>
      </c>
      <c r="B32" s="72">
        <f>Planilha!C32</f>
        <v>0</v>
      </c>
      <c r="C32" s="72">
        <f>Planilha!D32</f>
        <v>0</v>
      </c>
      <c r="D32" s="72" t="str">
        <f>Planilha!L32</f>
        <v>Regina Albanus</v>
      </c>
      <c r="E32" s="73">
        <f>Planilha!S32</f>
        <v>2</v>
      </c>
      <c r="F32" s="74" t="str">
        <f>Planilha!P32</f>
        <v>Tarefa 6</v>
      </c>
    </row>
    <row r="33" spans="1:6" hidden="1" x14ac:dyDescent="0.25">
      <c r="A33" s="76" t="str">
        <f>HYPERLINK("https://tkebrasil.atlassian.net/browse/" &amp; Planilha!AA33,Planilha!AA33)</f>
        <v>ENS-11042</v>
      </c>
      <c r="B33" s="72">
        <f>Planilha!C33</f>
        <v>0</v>
      </c>
      <c r="C33" s="72">
        <f>Planilha!D33</f>
        <v>0</v>
      </c>
      <c r="D33" s="72" t="str">
        <f>Planilha!L33</f>
        <v>Regina Albanus</v>
      </c>
      <c r="E33" s="73">
        <f>Planilha!S33</f>
        <v>2</v>
      </c>
      <c r="F33" s="74" t="str">
        <f>Planilha!P33</f>
        <v>Tarefa 7</v>
      </c>
    </row>
    <row r="34" spans="1:6" hidden="1" x14ac:dyDescent="0.25">
      <c r="A34" s="76" t="str">
        <f>HYPERLINK("https://tkebrasil.atlassian.net/browse/" &amp; Planilha!AA34,Planilha!AA34)</f>
        <v>ENS-11045</v>
      </c>
      <c r="B34" s="72">
        <f>Planilha!C34</f>
        <v>0</v>
      </c>
      <c r="C34" s="72">
        <f>Planilha!D34</f>
        <v>0</v>
      </c>
      <c r="D34" s="72" t="str">
        <f>Planilha!L34</f>
        <v>Regina Albanus</v>
      </c>
      <c r="E34" s="73">
        <f>Planilha!S34</f>
        <v>2</v>
      </c>
      <c r="F34" s="74" t="str">
        <f>Planilha!P34</f>
        <v>Tarefa 8</v>
      </c>
    </row>
    <row r="35" spans="1:6" hidden="1" x14ac:dyDescent="0.25">
      <c r="A35" s="76" t="str">
        <f>HYPERLINK("https://tkebrasil.atlassian.net/browse/" &amp; Planilha!AA35,Planilha!AA35)</f>
        <v>ENS-11048</v>
      </c>
      <c r="B35" s="72">
        <f>Planilha!C35</f>
        <v>0</v>
      </c>
      <c r="C35" s="72">
        <f>Planilha!D35</f>
        <v>0</v>
      </c>
      <c r="D35" s="72" t="str">
        <f>Planilha!L35</f>
        <v>Regina Albanus</v>
      </c>
      <c r="E35" s="73">
        <f>Planilha!S35</f>
        <v>2</v>
      </c>
      <c r="F35" s="74" t="str">
        <f>Planilha!P35</f>
        <v>Tarefa 9</v>
      </c>
    </row>
    <row r="36" spans="1:6" hidden="1" x14ac:dyDescent="0.25">
      <c r="A36" s="76" t="str">
        <f>HYPERLINK("https://tkebrasil.atlassian.net/browse/" &amp; Planilha!AA36,Planilha!AA36)</f>
        <v>ENS-11051</v>
      </c>
      <c r="B36" s="72">
        <f>Planilha!C36</f>
        <v>0</v>
      </c>
      <c r="C36" s="72">
        <f>Planilha!D36</f>
        <v>0</v>
      </c>
      <c r="D36" s="72" t="str">
        <f>Planilha!L36</f>
        <v>Regina Albanus</v>
      </c>
      <c r="E36" s="73">
        <f>Planilha!S36</f>
        <v>2</v>
      </c>
      <c r="F36" s="74" t="str">
        <f>Planilha!P36</f>
        <v>Tarefa 10</v>
      </c>
    </row>
    <row r="37" spans="1:6" hidden="1" x14ac:dyDescent="0.25">
      <c r="A37" s="76" t="str">
        <f>HYPERLINK("https://tkebrasil.atlassian.net/browse/" &amp; Planilha!AA37,Planilha!AA37)</f>
        <v>ENS-11054</v>
      </c>
      <c r="B37" s="72">
        <f>Planilha!C37</f>
        <v>0</v>
      </c>
      <c r="C37" s="72">
        <f>Planilha!D37</f>
        <v>0</v>
      </c>
      <c r="D37" s="72" t="str">
        <f>Planilha!L37</f>
        <v>Regina Albanus</v>
      </c>
      <c r="E37" s="73">
        <f>Planilha!S37</f>
        <v>2</v>
      </c>
      <c r="F37" s="74" t="str">
        <f>Planilha!P37</f>
        <v>Tarefa 11</v>
      </c>
    </row>
    <row r="38" spans="1:6" hidden="1" x14ac:dyDescent="0.25">
      <c r="A38" s="76" t="str">
        <f>HYPERLINK("https://tkebrasil.atlassian.net/browse/" &amp; Planilha!AA38,Planilha!AA38)</f>
        <v>ENS-11057</v>
      </c>
      <c r="B38" s="72">
        <f>Planilha!C38</f>
        <v>0</v>
      </c>
      <c r="C38" s="72">
        <f>Planilha!D38</f>
        <v>0</v>
      </c>
      <c r="D38" s="72" t="str">
        <f>Planilha!L38</f>
        <v>Luiz Felipe Brandão da Silva</v>
      </c>
      <c r="E38" s="73">
        <f>Planilha!S38</f>
        <v>2</v>
      </c>
      <c r="F38" s="74" t="str">
        <f>Planilha!P38</f>
        <v>Tarefa 12</v>
      </c>
    </row>
    <row r="39" spans="1:6" hidden="1" x14ac:dyDescent="0.25">
      <c r="A39" s="76">
        <f>HYPERLINK("https://tkebrasil.atlassian.net/browse/" &amp; Planilha!AA39,Planilha!AA39)</f>
        <v>0</v>
      </c>
      <c r="B39" s="72">
        <f>Planilha!C39</f>
        <v>0</v>
      </c>
      <c r="C39" s="72">
        <f>Planilha!D39</f>
        <v>0</v>
      </c>
      <c r="D39" s="72">
        <f>Planilha!L39</f>
        <v>0</v>
      </c>
      <c r="E39" s="73">
        <f>Planilha!S39</f>
        <v>0</v>
      </c>
      <c r="F39" s="74">
        <f>Planilha!P39</f>
        <v>0</v>
      </c>
    </row>
    <row r="40" spans="1:6" hidden="1" x14ac:dyDescent="0.25">
      <c r="A40" s="76">
        <f>HYPERLINK("https://tkebrasil.atlassian.net/browse/" &amp; Planilha!AA40,Planilha!AA40)</f>
        <v>0</v>
      </c>
      <c r="B40" s="72">
        <f>Planilha!C40</f>
        <v>0</v>
      </c>
      <c r="C40" s="72">
        <f>Planilha!D40</f>
        <v>0</v>
      </c>
      <c r="D40" s="72">
        <f>Planilha!L40</f>
        <v>0</v>
      </c>
      <c r="E40" s="73">
        <f>Planilha!S40</f>
        <v>0</v>
      </c>
      <c r="F40" s="74">
        <f>Planilha!P40</f>
        <v>0</v>
      </c>
    </row>
    <row r="41" spans="1:6" hidden="1" x14ac:dyDescent="0.25">
      <c r="A41" s="76">
        <f>HYPERLINK("https://tkebrasil.atlassian.net/browse/" &amp; Planilha!AA41,Planilha!AA41)</f>
        <v>0</v>
      </c>
      <c r="B41" s="72">
        <f>Planilha!C41</f>
        <v>0</v>
      </c>
      <c r="C41" s="72">
        <f>Planilha!D41</f>
        <v>0</v>
      </c>
      <c r="D41" s="72">
        <f>Planilha!L41</f>
        <v>0</v>
      </c>
      <c r="E41" s="73">
        <f>Planilha!S41</f>
        <v>0</v>
      </c>
      <c r="F41" s="74">
        <f>Planilha!P41</f>
        <v>0</v>
      </c>
    </row>
    <row r="42" spans="1:6" hidden="1" x14ac:dyDescent="0.25">
      <c r="A42" s="76">
        <f>HYPERLINK("https://tkebrasil.atlassian.net/browse/" &amp; Planilha!AA42,Planilha!AA42)</f>
        <v>0</v>
      </c>
      <c r="B42" s="72">
        <f>Planilha!C42</f>
        <v>0</v>
      </c>
      <c r="C42" s="72">
        <f>Planilha!D42</f>
        <v>0</v>
      </c>
      <c r="D42" s="72">
        <f>Planilha!L42</f>
        <v>0</v>
      </c>
      <c r="E42" s="73">
        <f>Planilha!S42</f>
        <v>0</v>
      </c>
      <c r="F42" s="74">
        <f>Planilha!P42</f>
        <v>0</v>
      </c>
    </row>
    <row r="43" spans="1:6" hidden="1" x14ac:dyDescent="0.25">
      <c r="A43" s="76">
        <f>HYPERLINK("https://tkebrasil.atlassian.net/browse/" &amp; Planilha!AA43,Planilha!AA43)</f>
        <v>0</v>
      </c>
      <c r="B43" s="72">
        <f>Planilha!C43</f>
        <v>0</v>
      </c>
      <c r="C43" s="72">
        <f>Planilha!D43</f>
        <v>0</v>
      </c>
      <c r="D43" s="72">
        <f>Planilha!L43</f>
        <v>0</v>
      </c>
      <c r="E43" s="73">
        <f>Planilha!S43</f>
        <v>0</v>
      </c>
      <c r="F43" s="74">
        <f>Planilha!P43</f>
        <v>0</v>
      </c>
    </row>
    <row r="44" spans="1:6" hidden="1" x14ac:dyDescent="0.25">
      <c r="A44" s="76">
        <f>HYPERLINK("https://tkebrasil.atlassian.net/browse/" &amp; Planilha!AA44,Planilha!AA44)</f>
        <v>0</v>
      </c>
      <c r="B44" s="72">
        <f>Planilha!C44</f>
        <v>0</v>
      </c>
      <c r="C44" s="72">
        <f>Planilha!D44</f>
        <v>0</v>
      </c>
      <c r="D44" s="72">
        <f>Planilha!L44</f>
        <v>0</v>
      </c>
      <c r="E44" s="73">
        <f>Planilha!S44</f>
        <v>0</v>
      </c>
      <c r="F44" s="74">
        <f>Planilha!P44</f>
        <v>0</v>
      </c>
    </row>
    <row r="45" spans="1:6" hidden="1" x14ac:dyDescent="0.25">
      <c r="A45" s="76">
        <f>HYPERLINK("https://tkebrasil.atlassian.net/browse/" &amp; Planilha!AA45,Planilha!AA45)</f>
        <v>0</v>
      </c>
      <c r="B45" s="72">
        <f>Planilha!C45</f>
        <v>0</v>
      </c>
      <c r="C45" s="72">
        <f>Planilha!D45</f>
        <v>0</v>
      </c>
      <c r="D45" s="72">
        <f>Planilha!L45</f>
        <v>0</v>
      </c>
      <c r="E45" s="73">
        <f>Planilha!S45</f>
        <v>0</v>
      </c>
      <c r="F45" s="74">
        <f>Planilha!P45</f>
        <v>0</v>
      </c>
    </row>
    <row r="46" spans="1:6" hidden="1" x14ac:dyDescent="0.25">
      <c r="A46" s="76">
        <f>HYPERLINK("https://tkebrasil.atlassian.net/browse/" &amp; Planilha!AA46,Planilha!AA46)</f>
        <v>0</v>
      </c>
      <c r="B46" s="72">
        <f>Planilha!C46</f>
        <v>0</v>
      </c>
      <c r="C46" s="72">
        <f>Planilha!D46</f>
        <v>0</v>
      </c>
      <c r="D46" s="72">
        <f>Planilha!L46</f>
        <v>0</v>
      </c>
      <c r="E46" s="73">
        <f>Planilha!S46</f>
        <v>0</v>
      </c>
      <c r="F46" s="74">
        <f>Planilha!P46</f>
        <v>0</v>
      </c>
    </row>
    <row r="47" spans="1:6" hidden="1" x14ac:dyDescent="0.25">
      <c r="A47" s="76">
        <f>HYPERLINK("https://tkebrasil.atlassian.net/browse/" &amp; Planilha!AA47,Planilha!AA47)</f>
        <v>0</v>
      </c>
      <c r="B47" s="72">
        <f>Planilha!C47</f>
        <v>0</v>
      </c>
      <c r="C47" s="72">
        <f>Planilha!D47</f>
        <v>0</v>
      </c>
      <c r="D47" s="72">
        <f>Planilha!L47</f>
        <v>0</v>
      </c>
      <c r="E47" s="73">
        <f>Planilha!S47</f>
        <v>0</v>
      </c>
      <c r="F47" s="74">
        <f>Planilha!P47</f>
        <v>0</v>
      </c>
    </row>
    <row r="48" spans="1:6" hidden="1" x14ac:dyDescent="0.25">
      <c r="A48" s="76">
        <f>HYPERLINK("https://tkebrasil.atlassian.net/browse/" &amp; Planilha!AA48,Planilha!AA48)</f>
        <v>0</v>
      </c>
      <c r="B48" s="72">
        <f>Planilha!C48</f>
        <v>0</v>
      </c>
      <c r="C48" s="72">
        <f>Planilha!D48</f>
        <v>0</v>
      </c>
      <c r="D48" s="72">
        <f>Planilha!L48</f>
        <v>0</v>
      </c>
      <c r="E48" s="73">
        <f>Planilha!S48</f>
        <v>0</v>
      </c>
      <c r="F48" s="74">
        <f>Planilha!P48</f>
        <v>0</v>
      </c>
    </row>
    <row r="49" spans="1:6" hidden="1" x14ac:dyDescent="0.25">
      <c r="A49" s="76">
        <f>HYPERLINK("https://tkebrasil.atlassian.net/browse/" &amp; Planilha!AA49,Planilha!AA49)</f>
        <v>0</v>
      </c>
      <c r="B49" s="72">
        <f>Planilha!C49</f>
        <v>0</v>
      </c>
      <c r="C49" s="72">
        <f>Planilha!D49</f>
        <v>0</v>
      </c>
      <c r="D49" s="72">
        <f>Planilha!L49</f>
        <v>0</v>
      </c>
      <c r="E49" s="73">
        <f>Planilha!S49</f>
        <v>0</v>
      </c>
      <c r="F49" s="74">
        <f>Planilha!P49</f>
        <v>0</v>
      </c>
    </row>
    <row r="50" spans="1:6" hidden="1" x14ac:dyDescent="0.25">
      <c r="A50" s="76">
        <f>HYPERLINK("https://tkebrasil.atlassian.net/browse/" &amp; Planilha!AA50,Planilha!AA50)</f>
        <v>0</v>
      </c>
      <c r="B50" s="72">
        <f>Planilha!C50</f>
        <v>0</v>
      </c>
      <c r="C50" s="72">
        <f>Planilha!D50</f>
        <v>0</v>
      </c>
      <c r="D50" s="72">
        <f>Planilha!L50</f>
        <v>0</v>
      </c>
      <c r="E50" s="73">
        <f>Planilha!S50</f>
        <v>0</v>
      </c>
      <c r="F50" s="74">
        <f>Planilha!P50</f>
        <v>0</v>
      </c>
    </row>
    <row r="51" spans="1:6" hidden="1" x14ac:dyDescent="0.25">
      <c r="A51" s="76">
        <f>HYPERLINK("https://tkebrasil.atlassian.net/browse/" &amp; Planilha!AA51,Planilha!AA51)</f>
        <v>0</v>
      </c>
      <c r="B51" s="72">
        <f>Planilha!C51</f>
        <v>0</v>
      </c>
      <c r="C51" s="72">
        <f>Planilha!D51</f>
        <v>0</v>
      </c>
      <c r="D51" s="72">
        <f>Planilha!L51</f>
        <v>0</v>
      </c>
      <c r="E51" s="73">
        <f>Planilha!S51</f>
        <v>0</v>
      </c>
      <c r="F51" s="74">
        <f>Planilha!P51</f>
        <v>0</v>
      </c>
    </row>
    <row r="52" spans="1:6" hidden="1" x14ac:dyDescent="0.25">
      <c r="A52" s="76">
        <f>HYPERLINK("https://tkebrasil.atlassian.net/browse/" &amp; Planilha!AA52,Planilha!AA52)</f>
        <v>0</v>
      </c>
      <c r="B52" s="72">
        <f>Planilha!C52</f>
        <v>0</v>
      </c>
      <c r="C52" s="72">
        <f>Planilha!D52</f>
        <v>0</v>
      </c>
      <c r="D52" s="72">
        <f>Planilha!L52</f>
        <v>0</v>
      </c>
      <c r="E52" s="73">
        <f>Planilha!S52</f>
        <v>0</v>
      </c>
      <c r="F52" s="74">
        <f>Planilha!P52</f>
        <v>0</v>
      </c>
    </row>
    <row r="53" spans="1:6" hidden="1" x14ac:dyDescent="0.25">
      <c r="A53" s="76">
        <f>HYPERLINK("https://tkebrasil.atlassian.net/browse/" &amp; Planilha!AA53,Planilha!AA53)</f>
        <v>0</v>
      </c>
      <c r="B53" s="72">
        <f>Planilha!C53</f>
        <v>0</v>
      </c>
      <c r="C53" s="72">
        <f>Planilha!D53</f>
        <v>0</v>
      </c>
      <c r="D53" s="72">
        <f>Planilha!L53</f>
        <v>0</v>
      </c>
      <c r="E53" s="73">
        <f>Planilha!S53</f>
        <v>0</v>
      </c>
      <c r="F53" s="74">
        <f>Planilha!P53</f>
        <v>0</v>
      </c>
    </row>
    <row r="54" spans="1:6" hidden="1" x14ac:dyDescent="0.25">
      <c r="A54" s="76">
        <f>HYPERLINK("https://tkebrasil.atlassian.net/browse/" &amp; Planilha!AA54,Planilha!AA54)</f>
        <v>0</v>
      </c>
      <c r="B54" s="72">
        <f>Planilha!C54</f>
        <v>0</v>
      </c>
      <c r="C54" s="72">
        <f>Planilha!D54</f>
        <v>0</v>
      </c>
      <c r="D54" s="72">
        <f>Planilha!L54</f>
        <v>0</v>
      </c>
      <c r="E54" s="73">
        <f>Planilha!S54</f>
        <v>0</v>
      </c>
      <c r="F54" s="74">
        <f>Planilha!P54</f>
        <v>0</v>
      </c>
    </row>
    <row r="55" spans="1:6" hidden="1" x14ac:dyDescent="0.25">
      <c r="A55" s="76">
        <f>HYPERLINK("https://tkebrasil.atlassian.net/browse/" &amp; Planilha!AA55,Planilha!AA55)</f>
        <v>0</v>
      </c>
      <c r="B55" s="72">
        <f>Planilha!C55</f>
        <v>0</v>
      </c>
      <c r="C55" s="72">
        <f>Planilha!D55</f>
        <v>0</v>
      </c>
      <c r="D55" s="72">
        <f>Planilha!L55</f>
        <v>0</v>
      </c>
      <c r="E55" s="73">
        <f>Planilha!S55</f>
        <v>0</v>
      </c>
      <c r="F55" s="74">
        <f>Planilha!P55</f>
        <v>0</v>
      </c>
    </row>
    <row r="56" spans="1:6" hidden="1" x14ac:dyDescent="0.25">
      <c r="A56" s="76">
        <f>HYPERLINK("https://tkebrasil.atlassian.net/browse/" &amp; Planilha!AA56,Planilha!AA56)</f>
        <v>0</v>
      </c>
      <c r="B56" s="72">
        <f>Planilha!C56</f>
        <v>0</v>
      </c>
      <c r="C56" s="72">
        <f>Planilha!D56</f>
        <v>0</v>
      </c>
      <c r="D56" s="72">
        <f>Planilha!L56</f>
        <v>0</v>
      </c>
      <c r="E56" s="73">
        <f>Planilha!S56</f>
        <v>0</v>
      </c>
      <c r="F56" s="74">
        <f>Planilha!P56</f>
        <v>0</v>
      </c>
    </row>
    <row r="57" spans="1:6" hidden="1" x14ac:dyDescent="0.25">
      <c r="A57" s="76">
        <f>HYPERLINK("https://tkebrasil.atlassian.net/browse/" &amp; Planilha!AA57,Planilha!AA57)</f>
        <v>0</v>
      </c>
      <c r="B57" s="72">
        <f>Planilha!C57</f>
        <v>0</v>
      </c>
      <c r="C57" s="72">
        <f>Planilha!D57</f>
        <v>0</v>
      </c>
      <c r="D57" s="72">
        <f>Planilha!L57</f>
        <v>0</v>
      </c>
      <c r="E57" s="73">
        <f>Planilha!S57</f>
        <v>0</v>
      </c>
      <c r="F57" s="74">
        <f>Planilha!P57</f>
        <v>0</v>
      </c>
    </row>
    <row r="58" spans="1:6" hidden="1" x14ac:dyDescent="0.25">
      <c r="A58" s="76">
        <f>HYPERLINK("https://tkebrasil.atlassian.net/browse/" &amp; Planilha!AA58,Planilha!AA58)</f>
        <v>0</v>
      </c>
      <c r="B58" s="72">
        <f>Planilha!C58</f>
        <v>0</v>
      </c>
      <c r="C58" s="72">
        <f>Planilha!D58</f>
        <v>0</v>
      </c>
      <c r="D58" s="72">
        <f>Planilha!L58</f>
        <v>0</v>
      </c>
      <c r="E58" s="73">
        <f>Planilha!S58</f>
        <v>0</v>
      </c>
      <c r="F58" s="74">
        <f>Planilha!P58</f>
        <v>0</v>
      </c>
    </row>
    <row r="59" spans="1:6" hidden="1" x14ac:dyDescent="0.25">
      <c r="A59" s="76">
        <f>HYPERLINK("https://tkebrasil.atlassian.net/browse/" &amp; Planilha!AA59,Planilha!AA59)</f>
        <v>0</v>
      </c>
      <c r="B59" s="72">
        <f>Planilha!C59</f>
        <v>0</v>
      </c>
      <c r="C59" s="72">
        <f>Planilha!D59</f>
        <v>0</v>
      </c>
      <c r="D59" s="72">
        <f>Planilha!L59</f>
        <v>0</v>
      </c>
      <c r="E59" s="73">
        <f>Planilha!S59</f>
        <v>0</v>
      </c>
      <c r="F59" s="74">
        <f>Planilha!P59</f>
        <v>0</v>
      </c>
    </row>
    <row r="60" spans="1:6" hidden="1" x14ac:dyDescent="0.25">
      <c r="A60" s="76">
        <f>HYPERLINK("https://tkebrasil.atlassian.net/browse/" &amp; Planilha!AA60,Planilha!AA60)</f>
        <v>0</v>
      </c>
      <c r="B60" s="72">
        <f>Planilha!C60</f>
        <v>0</v>
      </c>
      <c r="C60" s="72">
        <f>Planilha!D60</f>
        <v>0</v>
      </c>
      <c r="D60" s="72">
        <f>Planilha!L60</f>
        <v>0</v>
      </c>
      <c r="E60" s="73">
        <f>Planilha!S60</f>
        <v>0</v>
      </c>
      <c r="F60" s="74">
        <f>Planilha!P60</f>
        <v>0</v>
      </c>
    </row>
    <row r="61" spans="1:6" hidden="1" x14ac:dyDescent="0.25">
      <c r="A61" s="76">
        <f>HYPERLINK("https://tkebrasil.atlassian.net/browse/" &amp; Planilha!AA61,Planilha!AA61)</f>
        <v>0</v>
      </c>
      <c r="B61" s="72">
        <f>Planilha!C61</f>
        <v>0</v>
      </c>
      <c r="C61" s="72">
        <f>Planilha!D61</f>
        <v>0</v>
      </c>
      <c r="D61" s="72">
        <f>Planilha!L61</f>
        <v>0</v>
      </c>
      <c r="E61" s="73">
        <f>Planilha!S61</f>
        <v>0</v>
      </c>
      <c r="F61" s="74">
        <f>Planilha!P61</f>
        <v>0</v>
      </c>
    </row>
    <row r="62" spans="1:6" hidden="1" x14ac:dyDescent="0.25">
      <c r="A62" s="76">
        <f>HYPERLINK("https://tkebrasil.atlassian.net/browse/" &amp; Planilha!AA62,Planilha!AA62)</f>
        <v>0</v>
      </c>
      <c r="B62" s="72">
        <f>Planilha!C62</f>
        <v>0</v>
      </c>
      <c r="C62" s="72">
        <f>Planilha!D62</f>
        <v>0</v>
      </c>
      <c r="D62" s="72">
        <f>Planilha!L62</f>
        <v>0</v>
      </c>
      <c r="E62" s="73">
        <f>Planilha!S62</f>
        <v>0</v>
      </c>
      <c r="F62" s="74">
        <f>Planilha!P62</f>
        <v>0</v>
      </c>
    </row>
    <row r="63" spans="1:6" hidden="1" x14ac:dyDescent="0.25">
      <c r="A63" s="76">
        <f>HYPERLINK("https://tkebrasil.atlassian.net/browse/" &amp; Planilha!AA63,Planilha!AA63)</f>
        <v>0</v>
      </c>
      <c r="B63" s="72">
        <f>Planilha!C63</f>
        <v>0</v>
      </c>
      <c r="C63" s="72">
        <f>Planilha!D63</f>
        <v>0</v>
      </c>
      <c r="D63" s="72">
        <f>Planilha!L63</f>
        <v>0</v>
      </c>
      <c r="E63" s="73">
        <f>Planilha!S63</f>
        <v>0</v>
      </c>
      <c r="F63" s="74">
        <f>Planilha!P63</f>
        <v>0</v>
      </c>
    </row>
    <row r="64" spans="1:6" hidden="1" x14ac:dyDescent="0.25">
      <c r="A64" s="76">
        <f>HYPERLINK("https://tkebrasil.atlassian.net/browse/" &amp; Planilha!AA64,Planilha!AA64)</f>
        <v>0</v>
      </c>
      <c r="B64" s="72">
        <f>Planilha!C64</f>
        <v>0</v>
      </c>
      <c r="C64" s="72">
        <f>Planilha!D64</f>
        <v>0</v>
      </c>
      <c r="D64" s="72">
        <f>Planilha!L64</f>
        <v>0</v>
      </c>
      <c r="E64" s="73">
        <f>Planilha!S64</f>
        <v>0</v>
      </c>
      <c r="F64" s="74">
        <f>Planilha!P64</f>
        <v>0</v>
      </c>
    </row>
    <row r="65" spans="1:6" hidden="1" x14ac:dyDescent="0.25">
      <c r="A65" s="76">
        <f>HYPERLINK("https://tkebrasil.atlassian.net/browse/" &amp; Planilha!AA65,Planilha!AA65)</f>
        <v>0</v>
      </c>
      <c r="B65" s="72">
        <f>Planilha!C65</f>
        <v>0</v>
      </c>
      <c r="C65" s="72">
        <f>Planilha!D65</f>
        <v>0</v>
      </c>
      <c r="D65" s="72">
        <f>Planilha!L65</f>
        <v>0</v>
      </c>
      <c r="E65" s="73">
        <f>Planilha!S65</f>
        <v>0</v>
      </c>
      <c r="F65" s="74">
        <f>Planilha!P65</f>
        <v>0</v>
      </c>
    </row>
    <row r="66" spans="1:6" hidden="1" x14ac:dyDescent="0.25">
      <c r="A66" s="76">
        <f>HYPERLINK("https://tkebrasil.atlassian.net/browse/" &amp; Planilha!AA66,Planilha!AA66)</f>
        <v>0</v>
      </c>
      <c r="B66" s="72">
        <f>Planilha!C66</f>
        <v>0</v>
      </c>
      <c r="C66" s="72">
        <f>Planilha!D66</f>
        <v>0</v>
      </c>
      <c r="D66" s="72">
        <f>Planilha!L66</f>
        <v>0</v>
      </c>
      <c r="E66" s="73">
        <f>Planilha!S66</f>
        <v>0</v>
      </c>
      <c r="F66" s="74">
        <f>Planilha!P66</f>
        <v>0</v>
      </c>
    </row>
    <row r="67" spans="1:6" hidden="1" x14ac:dyDescent="0.25">
      <c r="A67" s="76">
        <f>HYPERLINK("https://tkebrasil.atlassian.net/browse/" &amp; Planilha!AA67,Planilha!AA67)</f>
        <v>0</v>
      </c>
      <c r="B67" s="72">
        <f>Planilha!C67</f>
        <v>0</v>
      </c>
      <c r="C67" s="72">
        <f>Planilha!D67</f>
        <v>0</v>
      </c>
      <c r="D67" s="72">
        <f>Planilha!L67</f>
        <v>0</v>
      </c>
      <c r="E67" s="73">
        <f>Planilha!S67</f>
        <v>0</v>
      </c>
      <c r="F67" s="74">
        <f>Planilha!P67</f>
        <v>0</v>
      </c>
    </row>
    <row r="68" spans="1:6" hidden="1" x14ac:dyDescent="0.25">
      <c r="A68" s="76">
        <f>HYPERLINK("https://tkebrasil.atlassian.net/browse/" &amp; Planilha!AA68,Planilha!AA68)</f>
        <v>0</v>
      </c>
      <c r="B68" s="72">
        <f>Planilha!C68</f>
        <v>0</v>
      </c>
      <c r="C68" s="72">
        <f>Planilha!D68</f>
        <v>0</v>
      </c>
      <c r="D68" s="72">
        <f>Planilha!L68</f>
        <v>0</v>
      </c>
      <c r="E68" s="73">
        <f>Planilha!S68</f>
        <v>0</v>
      </c>
      <c r="F68" s="74">
        <f>Planilha!P68</f>
        <v>0</v>
      </c>
    </row>
    <row r="69" spans="1:6" hidden="1" x14ac:dyDescent="0.25">
      <c r="A69" s="76">
        <f>HYPERLINK("https://tkebrasil.atlassian.net/browse/" &amp; Planilha!AA69,Planilha!AA69)</f>
        <v>0</v>
      </c>
      <c r="B69" s="72">
        <f>Planilha!C69</f>
        <v>0</v>
      </c>
      <c r="C69" s="72">
        <f>Planilha!D69</f>
        <v>0</v>
      </c>
      <c r="D69" s="72">
        <f>Planilha!L69</f>
        <v>0</v>
      </c>
      <c r="E69" s="73">
        <f>Planilha!S69</f>
        <v>0</v>
      </c>
      <c r="F69" s="74">
        <f>Planilha!P69</f>
        <v>0</v>
      </c>
    </row>
    <row r="70" spans="1:6" hidden="1" x14ac:dyDescent="0.25">
      <c r="A70" s="76">
        <f>HYPERLINK("https://tkebrasil.atlassian.net/browse/" &amp; Planilha!AA70,Planilha!AA70)</f>
        <v>0</v>
      </c>
      <c r="B70" s="72">
        <f>Planilha!C70</f>
        <v>0</v>
      </c>
      <c r="C70" s="72">
        <f>Planilha!D70</f>
        <v>0</v>
      </c>
      <c r="D70" s="72">
        <f>Planilha!L70</f>
        <v>0</v>
      </c>
      <c r="E70" s="73">
        <f>Planilha!S70</f>
        <v>0</v>
      </c>
      <c r="F70" s="74">
        <f>Planilha!P70</f>
        <v>0</v>
      </c>
    </row>
    <row r="71" spans="1:6" hidden="1" x14ac:dyDescent="0.25">
      <c r="A71" s="76">
        <f>HYPERLINK("https://tkebrasil.atlassian.net/browse/" &amp; Planilha!AA71,Planilha!AA71)</f>
        <v>0</v>
      </c>
      <c r="B71" s="72">
        <f>Planilha!C71</f>
        <v>0</v>
      </c>
      <c r="C71" s="72">
        <f>Planilha!D71</f>
        <v>0</v>
      </c>
      <c r="D71" s="72">
        <f>Planilha!L71</f>
        <v>0</v>
      </c>
      <c r="E71" s="73">
        <f>Planilha!S71</f>
        <v>0</v>
      </c>
      <c r="F71" s="74">
        <f>Planilha!P71</f>
        <v>0</v>
      </c>
    </row>
    <row r="72" spans="1:6" hidden="1" x14ac:dyDescent="0.25">
      <c r="A72" s="76">
        <f>HYPERLINK("https://tkebrasil.atlassian.net/browse/" &amp; Planilha!AA72,Planilha!AA72)</f>
        <v>0</v>
      </c>
      <c r="B72" s="72">
        <f>Planilha!C72</f>
        <v>0</v>
      </c>
      <c r="C72" s="72">
        <f>Planilha!D72</f>
        <v>0</v>
      </c>
      <c r="D72" s="72">
        <f>Planilha!L72</f>
        <v>0</v>
      </c>
      <c r="E72" s="73">
        <f>Planilha!S72</f>
        <v>0</v>
      </c>
      <c r="F72" s="74">
        <f>Planilha!P72</f>
        <v>0</v>
      </c>
    </row>
    <row r="73" spans="1:6" hidden="1" x14ac:dyDescent="0.25">
      <c r="A73" s="76">
        <f>HYPERLINK("https://tkebrasil.atlassian.net/browse/" &amp; Planilha!AA73,Planilha!AA73)</f>
        <v>0</v>
      </c>
      <c r="B73" s="72">
        <f>Planilha!C73</f>
        <v>0</v>
      </c>
      <c r="C73" s="72">
        <f>Planilha!D73</f>
        <v>0</v>
      </c>
      <c r="D73" s="72">
        <f>Planilha!L73</f>
        <v>0</v>
      </c>
      <c r="E73" s="73">
        <f>Planilha!S73</f>
        <v>0</v>
      </c>
      <c r="F73" s="74">
        <f>Planilha!P73</f>
        <v>0</v>
      </c>
    </row>
    <row r="74" spans="1:6" hidden="1" x14ac:dyDescent="0.25">
      <c r="A74" s="76">
        <f>HYPERLINK("https://tkebrasil.atlassian.net/browse/" &amp; Planilha!AA74,Planilha!AA74)</f>
        <v>0</v>
      </c>
      <c r="B74" s="72">
        <f>Planilha!C74</f>
        <v>0</v>
      </c>
      <c r="C74" s="72">
        <f>Planilha!D74</f>
        <v>0</v>
      </c>
      <c r="D74" s="72">
        <f>Planilha!L74</f>
        <v>0</v>
      </c>
      <c r="E74" s="73">
        <f>Planilha!S74</f>
        <v>0</v>
      </c>
      <c r="F74" s="74">
        <f>Planilha!P74</f>
        <v>0</v>
      </c>
    </row>
    <row r="75" spans="1:6" hidden="1" x14ac:dyDescent="0.25">
      <c r="A75" s="76">
        <f>HYPERLINK("https://tkebrasil.atlassian.net/browse/" &amp; Planilha!AA75,Planilha!AA75)</f>
        <v>0</v>
      </c>
      <c r="B75" s="72">
        <f>Planilha!C75</f>
        <v>0</v>
      </c>
      <c r="C75" s="72">
        <f>Planilha!D75</f>
        <v>0</v>
      </c>
      <c r="D75" s="72">
        <f>Planilha!L75</f>
        <v>0</v>
      </c>
      <c r="E75" s="73">
        <f>Planilha!S75</f>
        <v>0</v>
      </c>
      <c r="F75" s="74">
        <f>Planilha!P75</f>
        <v>0</v>
      </c>
    </row>
    <row r="76" spans="1:6" hidden="1" x14ac:dyDescent="0.25">
      <c r="A76" s="76">
        <f>HYPERLINK("https://tkebrasil.atlassian.net/browse/" &amp; Planilha!AA76,Planilha!AA76)</f>
        <v>0</v>
      </c>
      <c r="B76" s="72">
        <f>Planilha!C76</f>
        <v>0</v>
      </c>
      <c r="C76" s="72">
        <f>Planilha!D76</f>
        <v>0</v>
      </c>
      <c r="D76" s="72">
        <f>Planilha!L76</f>
        <v>0</v>
      </c>
      <c r="E76" s="73">
        <f>Planilha!S76</f>
        <v>0</v>
      </c>
      <c r="F76" s="74">
        <f>Planilha!P76</f>
        <v>0</v>
      </c>
    </row>
    <row r="77" spans="1:6" hidden="1" x14ac:dyDescent="0.25">
      <c r="A77" s="76">
        <f>HYPERLINK("https://tkebrasil.atlassian.net/browse/" &amp; Planilha!AA77,Planilha!AA77)</f>
        <v>0</v>
      </c>
      <c r="B77" s="72">
        <f>Planilha!C77</f>
        <v>0</v>
      </c>
      <c r="C77" s="72">
        <f>Planilha!D77</f>
        <v>0</v>
      </c>
      <c r="D77" s="72">
        <f>Planilha!L77</f>
        <v>0</v>
      </c>
      <c r="E77" s="73">
        <f>Planilha!S77</f>
        <v>0</v>
      </c>
      <c r="F77" s="74">
        <f>Planilha!P77</f>
        <v>0</v>
      </c>
    </row>
    <row r="78" spans="1:6" hidden="1" x14ac:dyDescent="0.25">
      <c r="A78" s="76">
        <f>HYPERLINK("https://tkebrasil.atlassian.net/browse/" &amp; Planilha!AA78,Planilha!AA78)</f>
        <v>0</v>
      </c>
      <c r="B78" s="72">
        <f>Planilha!C78</f>
        <v>0</v>
      </c>
      <c r="C78" s="72">
        <f>Planilha!D78</f>
        <v>0</v>
      </c>
      <c r="D78" s="72">
        <f>Planilha!L78</f>
        <v>0</v>
      </c>
      <c r="E78" s="73">
        <f>Planilha!S78</f>
        <v>0</v>
      </c>
      <c r="F78" s="74">
        <f>Planilha!P78</f>
        <v>0</v>
      </c>
    </row>
    <row r="79" spans="1:6" hidden="1" x14ac:dyDescent="0.25">
      <c r="A79" s="76">
        <f>HYPERLINK("https://tkebrasil.atlassian.net/browse/" &amp; Planilha!AA79,Planilha!AA79)</f>
        <v>0</v>
      </c>
      <c r="B79" s="72">
        <f>Planilha!C79</f>
        <v>0</v>
      </c>
      <c r="C79" s="72">
        <f>Planilha!D79</f>
        <v>0</v>
      </c>
      <c r="D79" s="72">
        <f>Planilha!L79</f>
        <v>0</v>
      </c>
      <c r="E79" s="73">
        <f>Planilha!S79</f>
        <v>0</v>
      </c>
      <c r="F79" s="74">
        <f>Planilha!P79</f>
        <v>0</v>
      </c>
    </row>
    <row r="80" spans="1:6" hidden="1" x14ac:dyDescent="0.25">
      <c r="A80" s="76">
        <f>HYPERLINK("https://tkebrasil.atlassian.net/browse/" &amp; Planilha!AA80,Planilha!AA80)</f>
        <v>0</v>
      </c>
      <c r="B80" s="72">
        <f>Planilha!C80</f>
        <v>0</v>
      </c>
      <c r="C80" s="72">
        <f>Planilha!D80</f>
        <v>0</v>
      </c>
      <c r="D80" s="72">
        <f>Planilha!L80</f>
        <v>0</v>
      </c>
      <c r="E80" s="73">
        <f>Planilha!S80</f>
        <v>0</v>
      </c>
      <c r="F80" s="74">
        <f>Planilha!P80</f>
        <v>0</v>
      </c>
    </row>
    <row r="81" spans="1:6" hidden="1" x14ac:dyDescent="0.25">
      <c r="A81" s="76">
        <f>HYPERLINK("https://tkebrasil.atlassian.net/browse/" &amp; Planilha!AA81,Planilha!AA81)</f>
        <v>0</v>
      </c>
      <c r="B81" s="72">
        <f>Planilha!C81</f>
        <v>0</v>
      </c>
      <c r="C81" s="72">
        <f>Planilha!D81</f>
        <v>0</v>
      </c>
      <c r="D81" s="72">
        <f>Planilha!L81</f>
        <v>0</v>
      </c>
      <c r="E81" s="73">
        <f>Planilha!S81</f>
        <v>0</v>
      </c>
      <c r="F81" s="74">
        <f>Planilha!P81</f>
        <v>0</v>
      </c>
    </row>
    <row r="82" spans="1:6" hidden="1" x14ac:dyDescent="0.25">
      <c r="A82" s="76">
        <f>HYPERLINK("https://tkebrasil.atlassian.net/browse/" &amp; Planilha!AA82,Planilha!AA82)</f>
        <v>0</v>
      </c>
      <c r="B82" s="72">
        <f>Planilha!C82</f>
        <v>0</v>
      </c>
      <c r="C82" s="72">
        <f>Planilha!D82</f>
        <v>0</v>
      </c>
      <c r="D82" s="72">
        <f>Planilha!L82</f>
        <v>0</v>
      </c>
      <c r="E82" s="73">
        <f>Planilha!S82</f>
        <v>0</v>
      </c>
      <c r="F82" s="74">
        <f>Planilha!P82</f>
        <v>0</v>
      </c>
    </row>
    <row r="83" spans="1:6" hidden="1" x14ac:dyDescent="0.25">
      <c r="A83" s="76">
        <f>HYPERLINK("https://tkebrasil.atlassian.net/browse/" &amp; Planilha!AA83,Planilha!AA83)</f>
        <v>0</v>
      </c>
      <c r="B83" s="72">
        <f>Planilha!C83</f>
        <v>0</v>
      </c>
      <c r="C83" s="72">
        <f>Planilha!D83</f>
        <v>0</v>
      </c>
      <c r="D83" s="72">
        <f>Planilha!L83</f>
        <v>0</v>
      </c>
      <c r="E83" s="73">
        <f>Planilha!S83</f>
        <v>0</v>
      </c>
      <c r="F83" s="74">
        <f>Planilha!P83</f>
        <v>0</v>
      </c>
    </row>
    <row r="84" spans="1:6" hidden="1" x14ac:dyDescent="0.25">
      <c r="A84" s="76">
        <f>HYPERLINK("https://tkebrasil.atlassian.net/browse/" &amp; Planilha!AA84,Planilha!AA84)</f>
        <v>0</v>
      </c>
      <c r="B84" s="72">
        <f>Planilha!C84</f>
        <v>0</v>
      </c>
      <c r="C84" s="72">
        <f>Planilha!D84</f>
        <v>0</v>
      </c>
      <c r="D84" s="72">
        <f>Planilha!L84</f>
        <v>0</v>
      </c>
      <c r="E84" s="73">
        <f>Planilha!S84</f>
        <v>0</v>
      </c>
      <c r="F84" s="74">
        <f>Planilha!P84</f>
        <v>0</v>
      </c>
    </row>
    <row r="85" spans="1:6" hidden="1" x14ac:dyDescent="0.25">
      <c r="A85" s="76">
        <f>HYPERLINK("https://tkebrasil.atlassian.net/browse/" &amp; Planilha!AA85,Planilha!AA85)</f>
        <v>0</v>
      </c>
      <c r="B85" s="72">
        <f>Planilha!C85</f>
        <v>0</v>
      </c>
      <c r="C85" s="72">
        <f>Planilha!D85</f>
        <v>0</v>
      </c>
      <c r="D85" s="72">
        <f>Planilha!L85</f>
        <v>0</v>
      </c>
      <c r="E85" s="73">
        <f>Planilha!S85</f>
        <v>0</v>
      </c>
      <c r="F85" s="74">
        <f>Planilha!P85</f>
        <v>0</v>
      </c>
    </row>
    <row r="86" spans="1:6" hidden="1" x14ac:dyDescent="0.25">
      <c r="A86" s="76">
        <f>HYPERLINK("https://tkebrasil.atlassian.net/browse/" &amp; Planilha!AA86,Planilha!AA86)</f>
        <v>0</v>
      </c>
      <c r="B86" s="72">
        <f>Planilha!C86</f>
        <v>0</v>
      </c>
      <c r="C86" s="72">
        <f>Planilha!D86</f>
        <v>0</v>
      </c>
      <c r="D86" s="72">
        <f>Planilha!L86</f>
        <v>0</v>
      </c>
      <c r="E86" s="73">
        <f>Planilha!S86</f>
        <v>0</v>
      </c>
      <c r="F86" s="74">
        <f>Planilha!P86</f>
        <v>0</v>
      </c>
    </row>
    <row r="87" spans="1:6" hidden="1" x14ac:dyDescent="0.25">
      <c r="A87" s="76">
        <f>HYPERLINK("https://tkebrasil.atlassian.net/browse/" &amp; Planilha!AA87,Planilha!AA87)</f>
        <v>0</v>
      </c>
      <c r="B87" s="72">
        <f>Planilha!C87</f>
        <v>0</v>
      </c>
      <c r="C87" s="72">
        <f>Planilha!D87</f>
        <v>0</v>
      </c>
      <c r="D87" s="72">
        <f>Planilha!L87</f>
        <v>0</v>
      </c>
      <c r="E87" s="73">
        <f>Planilha!S87</f>
        <v>0</v>
      </c>
      <c r="F87" s="74">
        <f>Planilha!P87</f>
        <v>0</v>
      </c>
    </row>
    <row r="88" spans="1:6" hidden="1" x14ac:dyDescent="0.25">
      <c r="A88" s="76">
        <f>HYPERLINK("https://tkebrasil.atlassian.net/browse/" &amp; Planilha!AA88,Planilha!AA88)</f>
        <v>0</v>
      </c>
      <c r="B88" s="72">
        <f>Planilha!C88</f>
        <v>0</v>
      </c>
      <c r="C88" s="72">
        <f>Planilha!D88</f>
        <v>0</v>
      </c>
      <c r="D88" s="72">
        <f>Planilha!L88</f>
        <v>0</v>
      </c>
      <c r="E88" s="73">
        <f>Planilha!S88</f>
        <v>0</v>
      </c>
      <c r="F88" s="74">
        <f>Planilha!P88</f>
        <v>0</v>
      </c>
    </row>
    <row r="89" spans="1:6" hidden="1" x14ac:dyDescent="0.25">
      <c r="A89" s="76">
        <f>HYPERLINK("https://tkebrasil.atlassian.net/browse/" &amp; Planilha!AA89,Planilha!AA89)</f>
        <v>0</v>
      </c>
      <c r="B89" s="72">
        <f>Planilha!C89</f>
        <v>0</v>
      </c>
      <c r="C89" s="72">
        <f>Planilha!D89</f>
        <v>0</v>
      </c>
      <c r="D89" s="72">
        <f>Planilha!L89</f>
        <v>0</v>
      </c>
      <c r="E89" s="73">
        <f>Planilha!S89</f>
        <v>0</v>
      </c>
      <c r="F89" s="74">
        <f>Planilha!P89</f>
        <v>0</v>
      </c>
    </row>
    <row r="90" spans="1:6" hidden="1" x14ac:dyDescent="0.25">
      <c r="A90" s="76">
        <f>HYPERLINK("https://tkebrasil.atlassian.net/browse/" &amp; Planilha!AA90,Planilha!AA90)</f>
        <v>0</v>
      </c>
      <c r="B90" s="72">
        <f>Planilha!C90</f>
        <v>0</v>
      </c>
      <c r="C90" s="72">
        <f>Planilha!D90</f>
        <v>0</v>
      </c>
      <c r="D90" s="72">
        <f>Planilha!L90</f>
        <v>0</v>
      </c>
      <c r="E90" s="73">
        <f>Planilha!S90</f>
        <v>0</v>
      </c>
      <c r="F90" s="74">
        <f>Planilha!P90</f>
        <v>0</v>
      </c>
    </row>
    <row r="91" spans="1:6" hidden="1" x14ac:dyDescent="0.25">
      <c r="A91" s="76">
        <f>HYPERLINK("https://tkebrasil.atlassian.net/browse/" &amp; Planilha!AA91,Planilha!AA91)</f>
        <v>0</v>
      </c>
      <c r="B91" s="72">
        <f>Planilha!C91</f>
        <v>0</v>
      </c>
      <c r="C91" s="72">
        <f>Planilha!D91</f>
        <v>0</v>
      </c>
      <c r="D91" s="72">
        <f>Planilha!L91</f>
        <v>0</v>
      </c>
      <c r="E91" s="73">
        <f>Planilha!S91</f>
        <v>0</v>
      </c>
      <c r="F91" s="74">
        <f>Planilha!P91</f>
        <v>0</v>
      </c>
    </row>
    <row r="92" spans="1:6" hidden="1" x14ac:dyDescent="0.25">
      <c r="A92" s="76">
        <f>HYPERLINK("https://tkebrasil.atlassian.net/browse/" &amp; Planilha!AA92,Planilha!AA92)</f>
        <v>0</v>
      </c>
      <c r="B92" s="72">
        <f>Planilha!C92</f>
        <v>0</v>
      </c>
      <c r="C92" s="72">
        <f>Planilha!D92</f>
        <v>0</v>
      </c>
      <c r="D92" s="72">
        <f>Planilha!L92</f>
        <v>0</v>
      </c>
      <c r="E92" s="73">
        <f>Planilha!S92</f>
        <v>0</v>
      </c>
      <c r="F92" s="74">
        <f>Planilha!P92</f>
        <v>0</v>
      </c>
    </row>
    <row r="93" spans="1:6" hidden="1" x14ac:dyDescent="0.25">
      <c r="A93" s="76">
        <f>HYPERLINK("https://tkebrasil.atlassian.net/browse/" &amp; Planilha!AA93,Planilha!AA93)</f>
        <v>0</v>
      </c>
      <c r="B93" s="72">
        <f>Planilha!C93</f>
        <v>0</v>
      </c>
      <c r="C93" s="72">
        <f>Planilha!D93</f>
        <v>0</v>
      </c>
      <c r="D93" s="72">
        <f>Planilha!L93</f>
        <v>0</v>
      </c>
      <c r="E93" s="73">
        <f>Planilha!S93</f>
        <v>0</v>
      </c>
      <c r="F93" s="74">
        <f>Planilha!P93</f>
        <v>0</v>
      </c>
    </row>
    <row r="94" spans="1:6" hidden="1" x14ac:dyDescent="0.25">
      <c r="A94" s="76">
        <f>HYPERLINK("https://tkebrasil.atlassian.net/browse/" &amp; Planilha!AA94,Planilha!AA94)</f>
        <v>0</v>
      </c>
      <c r="B94" s="72">
        <f>Planilha!C94</f>
        <v>0</v>
      </c>
      <c r="C94" s="72">
        <f>Planilha!D94</f>
        <v>0</v>
      </c>
      <c r="D94" s="72">
        <f>Planilha!L94</f>
        <v>0</v>
      </c>
      <c r="E94" s="73">
        <f>Planilha!S94</f>
        <v>0</v>
      </c>
      <c r="F94" s="74">
        <f>Planilha!P94</f>
        <v>0</v>
      </c>
    </row>
    <row r="95" spans="1:6" hidden="1" x14ac:dyDescent="0.25">
      <c r="A95" s="76">
        <f>HYPERLINK("https://tkebrasil.atlassian.net/browse/" &amp; Planilha!AA95,Planilha!AA95)</f>
        <v>0</v>
      </c>
      <c r="B95" s="72">
        <f>Planilha!C95</f>
        <v>0</v>
      </c>
      <c r="C95" s="72">
        <f>Planilha!D95</f>
        <v>0</v>
      </c>
      <c r="D95" s="72">
        <f>Planilha!L95</f>
        <v>0</v>
      </c>
      <c r="E95" s="73">
        <f>Planilha!S95</f>
        <v>0</v>
      </c>
      <c r="F95" s="74">
        <f>Planilha!P95</f>
        <v>0</v>
      </c>
    </row>
    <row r="96" spans="1:6" hidden="1" x14ac:dyDescent="0.25">
      <c r="A96" s="76">
        <f>HYPERLINK("https://tkebrasil.atlassian.net/browse/" &amp; Planilha!AA96,Planilha!AA96)</f>
        <v>0</v>
      </c>
      <c r="B96" s="72">
        <f>Planilha!C96</f>
        <v>0</v>
      </c>
      <c r="C96" s="72">
        <f>Planilha!D96</f>
        <v>0</v>
      </c>
      <c r="D96" s="72">
        <f>Planilha!L96</f>
        <v>0</v>
      </c>
      <c r="E96" s="73">
        <f>Planilha!S96</f>
        <v>0</v>
      </c>
      <c r="F96" s="74">
        <f>Planilha!P96</f>
        <v>0</v>
      </c>
    </row>
    <row r="97" spans="1:6" hidden="1" x14ac:dyDescent="0.25">
      <c r="A97" s="76">
        <f>HYPERLINK("https://tkebrasil.atlassian.net/browse/" &amp; Planilha!AA97,Planilha!AA97)</f>
        <v>0</v>
      </c>
      <c r="B97" s="72">
        <f>Planilha!C97</f>
        <v>0</v>
      </c>
      <c r="C97" s="72">
        <f>Planilha!D97</f>
        <v>0</v>
      </c>
      <c r="D97" s="72">
        <f>Planilha!L97</f>
        <v>0</v>
      </c>
      <c r="E97" s="73">
        <f>Planilha!S97</f>
        <v>0</v>
      </c>
      <c r="F97" s="74">
        <f>Planilha!P97</f>
        <v>0</v>
      </c>
    </row>
    <row r="98" spans="1:6" hidden="1" x14ac:dyDescent="0.25">
      <c r="A98" s="76">
        <f>HYPERLINK("https://tkebrasil.atlassian.net/browse/" &amp; Planilha!AA98,Planilha!AA98)</f>
        <v>0</v>
      </c>
      <c r="B98" s="72">
        <f>Planilha!C98</f>
        <v>0</v>
      </c>
      <c r="C98" s="72">
        <f>Planilha!D98</f>
        <v>0</v>
      </c>
      <c r="D98" s="72">
        <f>Planilha!L98</f>
        <v>0</v>
      </c>
      <c r="E98" s="73">
        <f>Planilha!S98</f>
        <v>0</v>
      </c>
      <c r="F98" s="74">
        <f>Planilha!P98</f>
        <v>0</v>
      </c>
    </row>
    <row r="99" spans="1:6" hidden="1" x14ac:dyDescent="0.25">
      <c r="A99" s="76">
        <f>HYPERLINK("https://tkebrasil.atlassian.net/browse/" &amp; Planilha!AA99,Planilha!AA99)</f>
        <v>0</v>
      </c>
      <c r="B99" s="72">
        <f>Planilha!C99</f>
        <v>0</v>
      </c>
      <c r="C99" s="72">
        <f>Planilha!D99</f>
        <v>0</v>
      </c>
      <c r="D99" s="72">
        <f>Planilha!L99</f>
        <v>0</v>
      </c>
      <c r="E99" s="73">
        <f>Planilha!S99</f>
        <v>0</v>
      </c>
      <c r="F99" s="74">
        <f>Planilha!P99</f>
        <v>0</v>
      </c>
    </row>
    <row r="100" spans="1:6" hidden="1" x14ac:dyDescent="0.25">
      <c r="A100" s="76">
        <f>HYPERLINK("https://tkebrasil.atlassian.net/browse/" &amp; Planilha!AA100,Planilha!AA100)</f>
        <v>0</v>
      </c>
      <c r="B100" s="72">
        <f>Planilha!C100</f>
        <v>0</v>
      </c>
      <c r="C100" s="72">
        <f>Planilha!D100</f>
        <v>0</v>
      </c>
      <c r="D100" s="72">
        <f>Planilha!L100</f>
        <v>0</v>
      </c>
      <c r="E100" s="73">
        <f>Planilha!S100</f>
        <v>0</v>
      </c>
      <c r="F100" s="74">
        <f>Planilha!P100</f>
        <v>0</v>
      </c>
    </row>
    <row r="101" spans="1:6" hidden="1" x14ac:dyDescent="0.25">
      <c r="A101" s="76">
        <f>HYPERLINK("https://tkebrasil.atlassian.net/browse/" &amp; Planilha!AA101,Planilha!AA101)</f>
        <v>0</v>
      </c>
      <c r="B101" s="72">
        <f>Planilha!C101</f>
        <v>0</v>
      </c>
      <c r="C101" s="72">
        <f>Planilha!D101</f>
        <v>0</v>
      </c>
      <c r="D101" s="72">
        <f>Planilha!L101</f>
        <v>0</v>
      </c>
      <c r="E101" s="73">
        <f>Planilha!S101</f>
        <v>0</v>
      </c>
      <c r="F101" s="74">
        <f>Planilha!P101</f>
        <v>0</v>
      </c>
    </row>
    <row r="102" spans="1:6" hidden="1" x14ac:dyDescent="0.25">
      <c r="A102" s="76">
        <f>HYPERLINK("https://tkebrasil.atlassian.net/browse/" &amp; Planilha!AA102,Planilha!AA102)</f>
        <v>0</v>
      </c>
      <c r="B102" s="72">
        <f>Planilha!C102</f>
        <v>0</v>
      </c>
      <c r="C102" s="72">
        <f>Planilha!D102</f>
        <v>0</v>
      </c>
      <c r="D102" s="72">
        <f>Planilha!L102</f>
        <v>0</v>
      </c>
      <c r="E102" s="73">
        <f>Planilha!S102</f>
        <v>0</v>
      </c>
      <c r="F102" s="74">
        <f>Planilha!P102</f>
        <v>0</v>
      </c>
    </row>
    <row r="103" spans="1:6" hidden="1" x14ac:dyDescent="0.25">
      <c r="A103" s="76">
        <f>HYPERLINK("https://tkebrasil.atlassian.net/browse/" &amp; Planilha!AA103,Planilha!AA103)</f>
        <v>0</v>
      </c>
      <c r="B103" s="72">
        <f>Planilha!C103</f>
        <v>0</v>
      </c>
      <c r="C103" s="72">
        <f>Planilha!D103</f>
        <v>0</v>
      </c>
      <c r="D103" s="72">
        <f>Planilha!L103</f>
        <v>0</v>
      </c>
      <c r="E103" s="73">
        <f>Planilha!S103</f>
        <v>0</v>
      </c>
      <c r="F103" s="74">
        <f>Planilha!P103</f>
        <v>0</v>
      </c>
    </row>
    <row r="104" spans="1:6" hidden="1" x14ac:dyDescent="0.25">
      <c r="A104" s="76">
        <f>HYPERLINK("https://tkebrasil.atlassian.net/browse/" &amp; Planilha!AA104,Planilha!AA104)</f>
        <v>0</v>
      </c>
      <c r="B104" s="72">
        <f>Planilha!C104</f>
        <v>0</v>
      </c>
      <c r="C104" s="72">
        <f>Planilha!D104</f>
        <v>0</v>
      </c>
      <c r="D104" s="72">
        <f>Planilha!L104</f>
        <v>0</v>
      </c>
      <c r="E104" s="73">
        <f>Planilha!S104</f>
        <v>0</v>
      </c>
      <c r="F104" s="74">
        <f>Planilha!P104</f>
        <v>0</v>
      </c>
    </row>
    <row r="105" spans="1:6" hidden="1" x14ac:dyDescent="0.25">
      <c r="A105" s="76">
        <f>HYPERLINK("https://tkebrasil.atlassian.net/browse/" &amp; Planilha!AA105,Planilha!AA105)</f>
        <v>0</v>
      </c>
      <c r="B105" s="72">
        <f>Planilha!C105</f>
        <v>0</v>
      </c>
      <c r="C105" s="72">
        <f>Planilha!D105</f>
        <v>0</v>
      </c>
      <c r="D105" s="72">
        <f>Planilha!L105</f>
        <v>0</v>
      </c>
      <c r="E105" s="73">
        <f>Planilha!S105</f>
        <v>0</v>
      </c>
      <c r="F105" s="74">
        <f>Planilha!P105</f>
        <v>0</v>
      </c>
    </row>
    <row r="106" spans="1:6" hidden="1" x14ac:dyDescent="0.25">
      <c r="A106" s="76">
        <f>HYPERLINK("https://tkebrasil.atlassian.net/browse/" &amp; Planilha!AA106,Planilha!AA106)</f>
        <v>0</v>
      </c>
      <c r="B106" s="72">
        <f>Planilha!C106</f>
        <v>0</v>
      </c>
      <c r="C106" s="72">
        <f>Planilha!D106</f>
        <v>0</v>
      </c>
      <c r="D106" s="72">
        <f>Planilha!L106</f>
        <v>0</v>
      </c>
      <c r="E106" s="73">
        <f>Planilha!S106</f>
        <v>0</v>
      </c>
      <c r="F106" s="74">
        <f>Planilha!P106</f>
        <v>0</v>
      </c>
    </row>
    <row r="107" spans="1:6" hidden="1" x14ac:dyDescent="0.25">
      <c r="A107" s="76">
        <f>HYPERLINK("https://tkebrasil.atlassian.net/browse/" &amp; Planilha!AA107,Planilha!AA107)</f>
        <v>0</v>
      </c>
      <c r="B107" s="72">
        <f>Planilha!C107</f>
        <v>0</v>
      </c>
      <c r="C107" s="72">
        <f>Planilha!D107</f>
        <v>0</v>
      </c>
      <c r="D107" s="72">
        <f>Planilha!L107</f>
        <v>0</v>
      </c>
      <c r="E107" s="73">
        <f>Planilha!S107</f>
        <v>0</v>
      </c>
      <c r="F107" s="74">
        <f>Planilha!P107</f>
        <v>0</v>
      </c>
    </row>
    <row r="108" spans="1:6" hidden="1" x14ac:dyDescent="0.25">
      <c r="A108" s="76">
        <f>HYPERLINK("https://tkebrasil.atlassian.net/browse/" &amp; Planilha!AA108,Planilha!AA108)</f>
        <v>0</v>
      </c>
      <c r="B108" s="72">
        <f>Planilha!C108</f>
        <v>0</v>
      </c>
      <c r="C108" s="72">
        <f>Planilha!D108</f>
        <v>0</v>
      </c>
      <c r="D108" s="72">
        <f>Planilha!L108</f>
        <v>0</v>
      </c>
      <c r="E108" s="73">
        <f>Planilha!S108</f>
        <v>0</v>
      </c>
      <c r="F108" s="74">
        <f>Planilha!P108</f>
        <v>0</v>
      </c>
    </row>
    <row r="109" spans="1:6" hidden="1" x14ac:dyDescent="0.25">
      <c r="A109" s="76">
        <f>HYPERLINK("https://tkebrasil.atlassian.net/browse/" &amp; Planilha!AA109,Planilha!AA109)</f>
        <v>0</v>
      </c>
      <c r="B109" s="72">
        <f>Planilha!C109</f>
        <v>0</v>
      </c>
      <c r="C109" s="72">
        <f>Planilha!D109</f>
        <v>0</v>
      </c>
      <c r="D109" s="72">
        <f>Planilha!L109</f>
        <v>0</v>
      </c>
      <c r="E109" s="73">
        <f>Planilha!S109</f>
        <v>0</v>
      </c>
      <c r="F109" s="74">
        <f>Planilha!P109</f>
        <v>0</v>
      </c>
    </row>
    <row r="110" spans="1:6" hidden="1" x14ac:dyDescent="0.25">
      <c r="A110" s="76">
        <f>HYPERLINK("https://tkebrasil.atlassian.net/browse/" &amp; Planilha!AA110,Planilha!AA110)</f>
        <v>0</v>
      </c>
      <c r="B110" s="72">
        <f>Planilha!C110</f>
        <v>0</v>
      </c>
      <c r="C110" s="72">
        <f>Planilha!D110</f>
        <v>0</v>
      </c>
      <c r="D110" s="72">
        <f>Planilha!L110</f>
        <v>0</v>
      </c>
      <c r="E110" s="73">
        <f>Planilha!S110</f>
        <v>0</v>
      </c>
      <c r="F110" s="74">
        <f>Planilha!P110</f>
        <v>0</v>
      </c>
    </row>
    <row r="111" spans="1:6" hidden="1" x14ac:dyDescent="0.25">
      <c r="A111" s="76">
        <f>HYPERLINK("https://tkebrasil.atlassian.net/browse/" &amp; Planilha!AA111,Planilha!AA111)</f>
        <v>0</v>
      </c>
      <c r="B111" s="72">
        <f>Planilha!C111</f>
        <v>0</v>
      </c>
      <c r="C111" s="72">
        <f>Planilha!D111</f>
        <v>0</v>
      </c>
      <c r="D111" s="72">
        <f>Planilha!L111</f>
        <v>0</v>
      </c>
      <c r="E111" s="73">
        <f>Planilha!S111</f>
        <v>0</v>
      </c>
      <c r="F111" s="74">
        <f>Planilha!P111</f>
        <v>0</v>
      </c>
    </row>
    <row r="112" spans="1:6" hidden="1" x14ac:dyDescent="0.25">
      <c r="A112" s="76">
        <f>HYPERLINK("https://tkebrasil.atlassian.net/browse/" &amp; Planilha!AA112,Planilha!AA112)</f>
        <v>0</v>
      </c>
      <c r="B112" s="72">
        <f>Planilha!C112</f>
        <v>0</v>
      </c>
      <c r="C112" s="72">
        <f>Planilha!D112</f>
        <v>0</v>
      </c>
      <c r="D112" s="72">
        <f>Planilha!L112</f>
        <v>0</v>
      </c>
      <c r="E112" s="73">
        <f>Planilha!S112</f>
        <v>0</v>
      </c>
      <c r="F112" s="74">
        <f>Planilha!P112</f>
        <v>0</v>
      </c>
    </row>
    <row r="113" spans="1:6" hidden="1" x14ac:dyDescent="0.25">
      <c r="A113" s="76">
        <f>HYPERLINK("https://tkebrasil.atlassian.net/browse/" &amp; Planilha!AA113,Planilha!AA113)</f>
        <v>0</v>
      </c>
      <c r="B113" s="72">
        <f>Planilha!C113</f>
        <v>0</v>
      </c>
      <c r="C113" s="72">
        <f>Planilha!D113</f>
        <v>0</v>
      </c>
      <c r="D113" s="72">
        <f>Planilha!L113</f>
        <v>0</v>
      </c>
      <c r="E113" s="73">
        <f>Planilha!S113</f>
        <v>0</v>
      </c>
      <c r="F113" s="74">
        <f>Planilha!P113</f>
        <v>0</v>
      </c>
    </row>
    <row r="114" spans="1:6" hidden="1" x14ac:dyDescent="0.25">
      <c r="A114" s="76">
        <f>HYPERLINK("https://tkebrasil.atlassian.net/browse/" &amp; Planilha!AA114,Planilha!AA114)</f>
        <v>0</v>
      </c>
      <c r="B114" s="72">
        <f>Planilha!C114</f>
        <v>0</v>
      </c>
      <c r="C114" s="72">
        <f>Planilha!D114</f>
        <v>0</v>
      </c>
      <c r="D114" s="72">
        <f>Planilha!L114</f>
        <v>0</v>
      </c>
      <c r="E114" s="73">
        <f>Planilha!S114</f>
        <v>0</v>
      </c>
      <c r="F114" s="74">
        <f>Planilha!P114</f>
        <v>0</v>
      </c>
    </row>
    <row r="115" spans="1:6" hidden="1" x14ac:dyDescent="0.25">
      <c r="A115" s="76">
        <f>HYPERLINK("https://tkebrasil.atlassian.net/browse/" &amp; Planilha!AA115,Planilha!AA115)</f>
        <v>0</v>
      </c>
      <c r="B115" s="72">
        <f>Planilha!C115</f>
        <v>0</v>
      </c>
      <c r="C115" s="72">
        <f>Planilha!D115</f>
        <v>0</v>
      </c>
      <c r="D115" s="72">
        <f>Planilha!L115</f>
        <v>0</v>
      </c>
      <c r="E115" s="73">
        <f>Planilha!S115</f>
        <v>0</v>
      </c>
      <c r="F115" s="74">
        <f>Planilha!P115</f>
        <v>0</v>
      </c>
    </row>
    <row r="116" spans="1:6" hidden="1" x14ac:dyDescent="0.25">
      <c r="A116" s="76">
        <f>HYPERLINK("https://tkebrasil.atlassian.net/browse/" &amp; Planilha!AA116,Planilha!AA116)</f>
        <v>0</v>
      </c>
      <c r="B116" s="72">
        <f>Planilha!C116</f>
        <v>0</v>
      </c>
      <c r="C116" s="72">
        <f>Planilha!D116</f>
        <v>0</v>
      </c>
      <c r="D116" s="72">
        <f>Planilha!L116</f>
        <v>0</v>
      </c>
      <c r="E116" s="73">
        <f>Planilha!S116</f>
        <v>0</v>
      </c>
      <c r="F116" s="74">
        <f>Planilha!P116</f>
        <v>0</v>
      </c>
    </row>
    <row r="117" spans="1:6" hidden="1" x14ac:dyDescent="0.25">
      <c r="A117" s="76">
        <f>HYPERLINK("https://tkebrasil.atlassian.net/browse/" &amp; Planilha!AA117,Planilha!AA117)</f>
        <v>0</v>
      </c>
      <c r="B117" s="72">
        <f>Planilha!C117</f>
        <v>0</v>
      </c>
      <c r="C117" s="72">
        <f>Planilha!D117</f>
        <v>0</v>
      </c>
      <c r="D117" s="72">
        <f>Planilha!L117</f>
        <v>0</v>
      </c>
      <c r="E117" s="73">
        <f>Planilha!S117</f>
        <v>0</v>
      </c>
      <c r="F117" s="74">
        <f>Planilha!P117</f>
        <v>0</v>
      </c>
    </row>
    <row r="118" spans="1:6" hidden="1" x14ac:dyDescent="0.25">
      <c r="A118" s="76">
        <f>HYPERLINK("https://tkebrasil.atlassian.net/browse/" &amp; Planilha!AA118,Planilha!AA118)</f>
        <v>0</v>
      </c>
      <c r="B118" s="72">
        <f>Planilha!C118</f>
        <v>0</v>
      </c>
      <c r="C118" s="72">
        <f>Planilha!D118</f>
        <v>0</v>
      </c>
      <c r="D118" s="72">
        <f>Planilha!L118</f>
        <v>0</v>
      </c>
      <c r="E118" s="73">
        <f>Planilha!S118</f>
        <v>0</v>
      </c>
      <c r="F118" s="74">
        <f>Planilha!P118</f>
        <v>0</v>
      </c>
    </row>
    <row r="119" spans="1:6" hidden="1" x14ac:dyDescent="0.25">
      <c r="A119" s="76">
        <f>HYPERLINK("https://tkebrasil.atlassian.net/browse/" &amp; Planilha!AA119,Planilha!AA119)</f>
        <v>0</v>
      </c>
      <c r="B119" s="72">
        <f>Planilha!C119</f>
        <v>0</v>
      </c>
      <c r="C119" s="72">
        <f>Planilha!D119</f>
        <v>0</v>
      </c>
      <c r="D119" s="72">
        <f>Planilha!L119</f>
        <v>0</v>
      </c>
      <c r="E119" s="73">
        <f>Planilha!S119</f>
        <v>0</v>
      </c>
      <c r="F119" s="74">
        <f>Planilha!P119</f>
        <v>0</v>
      </c>
    </row>
    <row r="120" spans="1:6" hidden="1" x14ac:dyDescent="0.25">
      <c r="A120" s="76">
        <f>HYPERLINK("https://tkebrasil.atlassian.net/browse/" &amp; Planilha!AA120,Planilha!AA120)</f>
        <v>0</v>
      </c>
      <c r="B120" s="72">
        <f>Planilha!C120</f>
        <v>0</v>
      </c>
      <c r="C120" s="72">
        <f>Planilha!D120</f>
        <v>0</v>
      </c>
      <c r="D120" s="72">
        <f>Planilha!L120</f>
        <v>0</v>
      </c>
      <c r="E120" s="73">
        <f>Planilha!S120</f>
        <v>0</v>
      </c>
      <c r="F120" s="74">
        <f>Planilha!P120</f>
        <v>0</v>
      </c>
    </row>
    <row r="121" spans="1:6" hidden="1" x14ac:dyDescent="0.25">
      <c r="A121" s="76">
        <f>HYPERLINK("https://tkebrasil.atlassian.net/browse/" &amp; Planilha!AA121,Planilha!AA121)</f>
        <v>0</v>
      </c>
      <c r="B121" s="72">
        <f>Planilha!C121</f>
        <v>0</v>
      </c>
      <c r="C121" s="72">
        <f>Planilha!D121</f>
        <v>0</v>
      </c>
      <c r="D121" s="72">
        <f>Planilha!L121</f>
        <v>0</v>
      </c>
      <c r="E121" s="73">
        <f>Planilha!S121</f>
        <v>0</v>
      </c>
      <c r="F121" s="74">
        <f>Planilha!P121</f>
        <v>0</v>
      </c>
    </row>
    <row r="122" spans="1:6" hidden="1" x14ac:dyDescent="0.25">
      <c r="A122" s="76">
        <f>HYPERLINK("https://tkebrasil.atlassian.net/browse/" &amp; Planilha!AA122,Planilha!AA122)</f>
        <v>0</v>
      </c>
      <c r="B122" s="72">
        <f>Planilha!C122</f>
        <v>0</v>
      </c>
      <c r="C122" s="72">
        <f>Planilha!D122</f>
        <v>0</v>
      </c>
      <c r="D122" s="72">
        <f>Planilha!L122</f>
        <v>0</v>
      </c>
      <c r="E122" s="73">
        <f>Planilha!S122</f>
        <v>0</v>
      </c>
      <c r="F122" s="74">
        <f>Planilha!P122</f>
        <v>0</v>
      </c>
    </row>
    <row r="123" spans="1:6" hidden="1" x14ac:dyDescent="0.25">
      <c r="A123" s="76">
        <f>HYPERLINK("https://tkebrasil.atlassian.net/browse/" &amp; Planilha!AA123,Planilha!AA123)</f>
        <v>0</v>
      </c>
      <c r="B123" s="72">
        <f>Planilha!C123</f>
        <v>0</v>
      </c>
      <c r="C123" s="72">
        <f>Planilha!D123</f>
        <v>0</v>
      </c>
      <c r="D123" s="72">
        <f>Planilha!L123</f>
        <v>0</v>
      </c>
      <c r="E123" s="73">
        <f>Planilha!S123</f>
        <v>0</v>
      </c>
      <c r="F123" s="74">
        <f>Planilha!P123</f>
        <v>0</v>
      </c>
    </row>
    <row r="124" spans="1:6" hidden="1" x14ac:dyDescent="0.25">
      <c r="A124" s="76">
        <f>HYPERLINK("https://tkebrasil.atlassian.net/browse/" &amp; Planilha!AA124,Planilha!AA124)</f>
        <v>0</v>
      </c>
      <c r="B124" s="72">
        <f>Planilha!C124</f>
        <v>0</v>
      </c>
      <c r="C124" s="72">
        <f>Planilha!D124</f>
        <v>0</v>
      </c>
      <c r="D124" s="72">
        <f>Planilha!L124</f>
        <v>0</v>
      </c>
      <c r="E124" s="73">
        <f>Planilha!S124</f>
        <v>0</v>
      </c>
      <c r="F124" s="74">
        <f>Planilha!P124</f>
        <v>0</v>
      </c>
    </row>
    <row r="125" spans="1:6" hidden="1" x14ac:dyDescent="0.25">
      <c r="A125" s="76">
        <f>HYPERLINK("https://tkebrasil.atlassian.net/browse/" &amp; Planilha!AA125,Planilha!AA125)</f>
        <v>0</v>
      </c>
      <c r="B125" s="72">
        <f>Planilha!C125</f>
        <v>0</v>
      </c>
      <c r="C125" s="72">
        <f>Planilha!D125</f>
        <v>0</v>
      </c>
      <c r="D125" s="72">
        <f>Planilha!L125</f>
        <v>0</v>
      </c>
      <c r="E125" s="73">
        <f>Planilha!S125</f>
        <v>0</v>
      </c>
      <c r="F125" s="74">
        <f>Planilha!P125</f>
        <v>0</v>
      </c>
    </row>
    <row r="126" spans="1:6" hidden="1" x14ac:dyDescent="0.25">
      <c r="A126" s="76">
        <f>HYPERLINK("https://tkebrasil.atlassian.net/browse/" &amp; Planilha!AA126,Planilha!AA126)</f>
        <v>0</v>
      </c>
      <c r="B126" s="72">
        <f>Planilha!C126</f>
        <v>0</v>
      </c>
      <c r="C126" s="72">
        <f>Planilha!D126</f>
        <v>0</v>
      </c>
      <c r="D126" s="72">
        <f>Planilha!L126</f>
        <v>0</v>
      </c>
      <c r="E126" s="73">
        <f>Planilha!S126</f>
        <v>0</v>
      </c>
      <c r="F126" s="74">
        <f>Planilha!P126</f>
        <v>0</v>
      </c>
    </row>
    <row r="127" spans="1:6" hidden="1" x14ac:dyDescent="0.25">
      <c r="A127" s="76">
        <f>HYPERLINK("https://tkebrasil.atlassian.net/browse/" &amp; Planilha!AA127,Planilha!AA127)</f>
        <v>0</v>
      </c>
      <c r="B127" s="72">
        <f>Planilha!C127</f>
        <v>0</v>
      </c>
      <c r="C127" s="72">
        <f>Planilha!D127</f>
        <v>0</v>
      </c>
      <c r="D127" s="72">
        <f>Planilha!L127</f>
        <v>0</v>
      </c>
      <c r="E127" s="73">
        <f>Planilha!S127</f>
        <v>0</v>
      </c>
      <c r="F127" s="74">
        <f>Planilha!P127</f>
        <v>0</v>
      </c>
    </row>
    <row r="128" spans="1:6" hidden="1" x14ac:dyDescent="0.25">
      <c r="A128" s="76">
        <f>HYPERLINK("https://tkebrasil.atlassian.net/browse/" &amp; Planilha!AA128,Planilha!AA128)</f>
        <v>0</v>
      </c>
      <c r="B128" s="72">
        <f>Planilha!C128</f>
        <v>0</v>
      </c>
      <c r="C128" s="72">
        <f>Planilha!D128</f>
        <v>0</v>
      </c>
      <c r="D128" s="72">
        <f>Planilha!L128</f>
        <v>0</v>
      </c>
      <c r="E128" s="73">
        <f>Planilha!S128</f>
        <v>0</v>
      </c>
      <c r="F128" s="74">
        <f>Planilha!P128</f>
        <v>0</v>
      </c>
    </row>
    <row r="129" spans="1:6" hidden="1" x14ac:dyDescent="0.25">
      <c r="A129" s="76">
        <f>HYPERLINK("https://tkebrasil.atlassian.net/browse/" &amp; Planilha!AA129,Planilha!AA129)</f>
        <v>0</v>
      </c>
      <c r="B129" s="72">
        <f>Planilha!C129</f>
        <v>0</v>
      </c>
      <c r="C129" s="72">
        <f>Planilha!D129</f>
        <v>0</v>
      </c>
      <c r="D129" s="72">
        <f>Planilha!L129</f>
        <v>0</v>
      </c>
      <c r="E129" s="73">
        <f>Planilha!S129</f>
        <v>0</v>
      </c>
      <c r="F129" s="74">
        <f>Planilha!P129</f>
        <v>0</v>
      </c>
    </row>
    <row r="130" spans="1:6" hidden="1" x14ac:dyDescent="0.25">
      <c r="A130" s="76">
        <f>HYPERLINK("https://tkebrasil.atlassian.net/browse/" &amp; Planilha!AA130,Planilha!AA130)</f>
        <v>0</v>
      </c>
      <c r="B130" s="72">
        <f>Planilha!C130</f>
        <v>0</v>
      </c>
      <c r="C130" s="72">
        <f>Planilha!D130</f>
        <v>0</v>
      </c>
      <c r="D130" s="72">
        <f>Planilha!L130</f>
        <v>0</v>
      </c>
      <c r="E130" s="73">
        <f>Planilha!S130</f>
        <v>0</v>
      </c>
      <c r="F130" s="74">
        <f>Planilha!P130</f>
        <v>0</v>
      </c>
    </row>
    <row r="131" spans="1:6" hidden="1" x14ac:dyDescent="0.25">
      <c r="A131" s="76">
        <f>HYPERLINK("https://tkebrasil.atlassian.net/browse/" &amp; Planilha!AA131,Planilha!AA131)</f>
        <v>0</v>
      </c>
      <c r="B131" s="72">
        <f>Planilha!C131</f>
        <v>0</v>
      </c>
      <c r="C131" s="72">
        <f>Planilha!D131</f>
        <v>0</v>
      </c>
      <c r="D131" s="72">
        <f>Planilha!L131</f>
        <v>0</v>
      </c>
      <c r="E131" s="73">
        <f>Planilha!S131</f>
        <v>0</v>
      </c>
      <c r="F131" s="74">
        <f>Planilha!P131</f>
        <v>0</v>
      </c>
    </row>
    <row r="132" spans="1:6" hidden="1" x14ac:dyDescent="0.25">
      <c r="A132" s="76">
        <f>HYPERLINK("https://tkebrasil.atlassian.net/browse/" &amp; Planilha!AA132,Planilha!AA132)</f>
        <v>0</v>
      </c>
      <c r="B132" s="72">
        <f>Planilha!C132</f>
        <v>0</v>
      </c>
      <c r="C132" s="72">
        <f>Planilha!D132</f>
        <v>0</v>
      </c>
      <c r="D132" s="72">
        <f>Planilha!L132</f>
        <v>0</v>
      </c>
      <c r="E132" s="73">
        <f>Planilha!S132</f>
        <v>0</v>
      </c>
      <c r="F132" s="74">
        <f>Planilha!P132</f>
        <v>0</v>
      </c>
    </row>
    <row r="133" spans="1:6" hidden="1" x14ac:dyDescent="0.25">
      <c r="A133" s="76">
        <f>HYPERLINK("https://tkebrasil.atlassian.net/browse/" &amp; Planilha!AA133,Planilha!AA133)</f>
        <v>0</v>
      </c>
      <c r="B133" s="72">
        <f>Planilha!C133</f>
        <v>0</v>
      </c>
      <c r="C133" s="72">
        <f>Planilha!D133</f>
        <v>0</v>
      </c>
      <c r="D133" s="72">
        <f>Planilha!L133</f>
        <v>0</v>
      </c>
      <c r="E133" s="73">
        <f>Planilha!S133</f>
        <v>0</v>
      </c>
      <c r="F133" s="74">
        <f>Planilha!P133</f>
        <v>0</v>
      </c>
    </row>
    <row r="134" spans="1:6" hidden="1" x14ac:dyDescent="0.25">
      <c r="A134" s="76">
        <f>HYPERLINK("https://tkebrasil.atlassian.net/browse/" &amp; Planilha!AA134,Planilha!AA134)</f>
        <v>0</v>
      </c>
      <c r="B134" s="72">
        <f>Planilha!C134</f>
        <v>0</v>
      </c>
      <c r="C134" s="72">
        <f>Planilha!D134</f>
        <v>0</v>
      </c>
      <c r="D134" s="72">
        <f>Planilha!L134</f>
        <v>0</v>
      </c>
      <c r="E134" s="73">
        <f>Planilha!S134</f>
        <v>0</v>
      </c>
      <c r="F134" s="74">
        <f>Planilha!P134</f>
        <v>0</v>
      </c>
    </row>
    <row r="135" spans="1:6" hidden="1" x14ac:dyDescent="0.25">
      <c r="A135" s="76">
        <f>HYPERLINK("https://tkebrasil.atlassian.net/browse/" &amp; Planilha!AA135,Planilha!AA135)</f>
        <v>0</v>
      </c>
      <c r="B135" s="72">
        <f>Planilha!C135</f>
        <v>0</v>
      </c>
      <c r="C135" s="72">
        <f>Planilha!D135</f>
        <v>0</v>
      </c>
      <c r="D135" s="72">
        <f>Planilha!L135</f>
        <v>0</v>
      </c>
      <c r="E135" s="73">
        <f>Planilha!S135</f>
        <v>0</v>
      </c>
      <c r="F135" s="74">
        <f>Planilha!P135</f>
        <v>0</v>
      </c>
    </row>
    <row r="136" spans="1:6" hidden="1" x14ac:dyDescent="0.25">
      <c r="A136" s="76">
        <f>HYPERLINK("https://tkebrasil.atlassian.net/browse/" &amp; Planilha!AA136,Planilha!AA136)</f>
        <v>0</v>
      </c>
      <c r="B136" s="72">
        <f>Planilha!C136</f>
        <v>0</v>
      </c>
      <c r="C136" s="72">
        <f>Planilha!D136</f>
        <v>0</v>
      </c>
      <c r="D136" s="72">
        <f>Planilha!L136</f>
        <v>0</v>
      </c>
      <c r="E136" s="73">
        <f>Planilha!S136</f>
        <v>0</v>
      </c>
      <c r="F136" s="74">
        <f>Planilha!P136</f>
        <v>0</v>
      </c>
    </row>
    <row r="137" spans="1:6" hidden="1" x14ac:dyDescent="0.25">
      <c r="A137" s="76">
        <f>HYPERLINK("https://tkebrasil.atlassian.net/browse/" &amp; Planilha!AA137,Planilha!AA137)</f>
        <v>0</v>
      </c>
      <c r="B137" s="72">
        <f>Planilha!C137</f>
        <v>0</v>
      </c>
      <c r="C137" s="72">
        <f>Planilha!D137</f>
        <v>0</v>
      </c>
      <c r="D137" s="72">
        <f>Planilha!L137</f>
        <v>0</v>
      </c>
      <c r="E137" s="73">
        <f>Planilha!S137</f>
        <v>0</v>
      </c>
      <c r="F137" s="74">
        <f>Planilha!P137</f>
        <v>0</v>
      </c>
    </row>
    <row r="138" spans="1:6" hidden="1" x14ac:dyDescent="0.25">
      <c r="A138" s="76">
        <f>HYPERLINK("https://tkebrasil.atlassian.net/browse/" &amp; Planilha!AA138,Planilha!AA138)</f>
        <v>0</v>
      </c>
      <c r="B138" s="72">
        <f>Planilha!C138</f>
        <v>0</v>
      </c>
      <c r="C138" s="72">
        <f>Planilha!D138</f>
        <v>0</v>
      </c>
      <c r="D138" s="72">
        <f>Planilha!L138</f>
        <v>0</v>
      </c>
      <c r="E138" s="73">
        <f>Planilha!S138</f>
        <v>0</v>
      </c>
      <c r="F138" s="74">
        <f>Planilha!P138</f>
        <v>0</v>
      </c>
    </row>
    <row r="139" spans="1:6" hidden="1" x14ac:dyDescent="0.25">
      <c r="A139" s="76">
        <f>HYPERLINK("https://tkebrasil.atlassian.net/browse/" &amp; Planilha!AA139,Planilha!AA139)</f>
        <v>0</v>
      </c>
      <c r="B139" s="72">
        <f>Planilha!C139</f>
        <v>0</v>
      </c>
      <c r="C139" s="72">
        <f>Planilha!D139</f>
        <v>0</v>
      </c>
      <c r="D139" s="72">
        <f>Planilha!L139</f>
        <v>0</v>
      </c>
      <c r="E139" s="73">
        <f>Planilha!S139</f>
        <v>0</v>
      </c>
      <c r="F139" s="74">
        <f>Planilha!P139</f>
        <v>0</v>
      </c>
    </row>
    <row r="140" spans="1:6" hidden="1" x14ac:dyDescent="0.25">
      <c r="A140" s="76">
        <f>HYPERLINK("https://tkebrasil.atlassian.net/browse/" &amp; Planilha!AA140,Planilha!AA140)</f>
        <v>0</v>
      </c>
      <c r="B140" s="72">
        <f>Planilha!C140</f>
        <v>0</v>
      </c>
      <c r="C140" s="72">
        <f>Planilha!D140</f>
        <v>0</v>
      </c>
      <c r="D140" s="72">
        <f>Planilha!L140</f>
        <v>0</v>
      </c>
      <c r="E140" s="73">
        <f>Planilha!S140</f>
        <v>0</v>
      </c>
      <c r="F140" s="74">
        <f>Planilha!P140</f>
        <v>0</v>
      </c>
    </row>
    <row r="141" spans="1:6" hidden="1" x14ac:dyDescent="0.25">
      <c r="A141" s="76">
        <f>HYPERLINK("https://tkebrasil.atlassian.net/browse/" &amp; Planilha!AA141,Planilha!AA141)</f>
        <v>0</v>
      </c>
      <c r="B141" s="72">
        <f>Planilha!C141</f>
        <v>0</v>
      </c>
      <c r="C141" s="72">
        <f>Planilha!D141</f>
        <v>0</v>
      </c>
      <c r="D141" s="72">
        <f>Planilha!L141</f>
        <v>0</v>
      </c>
      <c r="E141" s="73">
        <f>Planilha!S141</f>
        <v>0</v>
      </c>
      <c r="F141" s="74">
        <f>Planilha!P141</f>
        <v>0</v>
      </c>
    </row>
    <row r="142" spans="1:6" hidden="1" x14ac:dyDescent="0.25">
      <c r="A142" s="76">
        <f>HYPERLINK("https://tkebrasil.atlassian.net/browse/" &amp; Planilha!AA142,Planilha!AA142)</f>
        <v>0</v>
      </c>
      <c r="B142" s="72">
        <f>Planilha!C142</f>
        <v>0</v>
      </c>
      <c r="C142" s="72">
        <f>Planilha!D142</f>
        <v>0</v>
      </c>
      <c r="D142" s="72">
        <f>Planilha!L142</f>
        <v>0</v>
      </c>
      <c r="E142" s="73">
        <f>Planilha!S142</f>
        <v>0</v>
      </c>
      <c r="F142" s="74">
        <f>Planilha!P142</f>
        <v>0</v>
      </c>
    </row>
    <row r="143" spans="1:6" hidden="1" x14ac:dyDescent="0.25">
      <c r="A143" s="76">
        <f>HYPERLINK("https://tkebrasil.atlassian.net/browse/" &amp; Planilha!AA143,Planilha!AA143)</f>
        <v>0</v>
      </c>
      <c r="B143" s="72">
        <f>Planilha!C143</f>
        <v>0</v>
      </c>
      <c r="C143" s="72">
        <f>Planilha!D143</f>
        <v>0</v>
      </c>
      <c r="D143" s="72">
        <f>Planilha!L143</f>
        <v>0</v>
      </c>
      <c r="E143" s="73">
        <f>Planilha!S143</f>
        <v>0</v>
      </c>
      <c r="F143" s="74">
        <f>Planilha!P143</f>
        <v>0</v>
      </c>
    </row>
    <row r="144" spans="1:6" hidden="1" x14ac:dyDescent="0.25">
      <c r="A144" s="76">
        <f>HYPERLINK("https://tkebrasil.atlassian.net/browse/" &amp; Planilha!AA144,Planilha!AA144)</f>
        <v>0</v>
      </c>
      <c r="B144" s="72">
        <f>Planilha!C144</f>
        <v>0</v>
      </c>
      <c r="C144" s="72">
        <f>Planilha!D144</f>
        <v>0</v>
      </c>
      <c r="D144" s="72">
        <f>Planilha!L144</f>
        <v>0</v>
      </c>
      <c r="E144" s="73">
        <f>Planilha!S144</f>
        <v>0</v>
      </c>
      <c r="F144" s="74">
        <f>Planilha!P144</f>
        <v>0</v>
      </c>
    </row>
    <row r="145" spans="1:6" hidden="1" x14ac:dyDescent="0.25">
      <c r="A145" s="76">
        <f>HYPERLINK("https://tkebrasil.atlassian.net/browse/" &amp; Planilha!AA145,Planilha!AA145)</f>
        <v>0</v>
      </c>
      <c r="B145" s="72">
        <f>Planilha!C145</f>
        <v>0</v>
      </c>
      <c r="C145" s="72">
        <f>Planilha!D145</f>
        <v>0</v>
      </c>
      <c r="D145" s="72">
        <f>Planilha!L145</f>
        <v>0</v>
      </c>
      <c r="E145" s="73">
        <f>Planilha!S145</f>
        <v>0</v>
      </c>
      <c r="F145" s="74">
        <f>Planilha!P145</f>
        <v>0</v>
      </c>
    </row>
    <row r="146" spans="1:6" hidden="1" x14ac:dyDescent="0.25">
      <c r="A146" s="76">
        <f>HYPERLINK("https://tkebrasil.atlassian.net/browse/" &amp; Planilha!AA146,Planilha!AA146)</f>
        <v>0</v>
      </c>
      <c r="B146" s="72">
        <f>Planilha!C146</f>
        <v>0</v>
      </c>
      <c r="C146" s="72">
        <f>Planilha!D146</f>
        <v>0</v>
      </c>
      <c r="D146" s="72">
        <f>Planilha!L146</f>
        <v>0</v>
      </c>
      <c r="E146" s="73">
        <f>Planilha!S146</f>
        <v>0</v>
      </c>
      <c r="F146" s="74">
        <f>Planilha!P146</f>
        <v>0</v>
      </c>
    </row>
    <row r="147" spans="1:6" hidden="1" x14ac:dyDescent="0.25">
      <c r="A147" s="76">
        <f>HYPERLINK("https://tkebrasil.atlassian.net/browse/" &amp; Planilha!AA147,Planilha!AA147)</f>
        <v>0</v>
      </c>
      <c r="B147" s="72">
        <f>Planilha!C147</f>
        <v>0</v>
      </c>
      <c r="C147" s="72">
        <f>Planilha!D147</f>
        <v>0</v>
      </c>
      <c r="D147" s="72">
        <f>Planilha!L147</f>
        <v>0</v>
      </c>
      <c r="E147" s="73">
        <f>Planilha!S147</f>
        <v>0</v>
      </c>
      <c r="F147" s="74">
        <f>Planilha!P147</f>
        <v>0</v>
      </c>
    </row>
    <row r="148" spans="1:6" hidden="1" x14ac:dyDescent="0.25">
      <c r="A148" s="76">
        <f>HYPERLINK("https://tkebrasil.atlassian.net/browse/" &amp; Planilha!AA148,Planilha!AA148)</f>
        <v>0</v>
      </c>
      <c r="B148" s="72">
        <f>Planilha!C148</f>
        <v>0</v>
      </c>
      <c r="C148" s="72">
        <f>Planilha!D148</f>
        <v>0</v>
      </c>
      <c r="D148" s="72">
        <f>Planilha!L148</f>
        <v>0</v>
      </c>
      <c r="E148" s="73">
        <f>Planilha!S148</f>
        <v>0</v>
      </c>
      <c r="F148" s="74">
        <f>Planilha!P148</f>
        <v>0</v>
      </c>
    </row>
    <row r="149" spans="1:6" hidden="1" x14ac:dyDescent="0.25">
      <c r="A149" s="76">
        <f>HYPERLINK("https://tkebrasil.atlassian.net/browse/" &amp; Planilha!AA149,Planilha!AA149)</f>
        <v>0</v>
      </c>
      <c r="B149" s="72">
        <f>Planilha!C149</f>
        <v>0</v>
      </c>
      <c r="C149" s="72">
        <f>Planilha!D149</f>
        <v>0</v>
      </c>
      <c r="D149" s="72">
        <f>Planilha!L149</f>
        <v>0</v>
      </c>
      <c r="E149" s="73">
        <f>Planilha!S149</f>
        <v>0</v>
      </c>
      <c r="F149" s="74">
        <f>Planilha!P149</f>
        <v>0</v>
      </c>
    </row>
    <row r="150" spans="1:6" hidden="1" x14ac:dyDescent="0.25">
      <c r="A150" s="76">
        <f>HYPERLINK("https://tkebrasil.atlassian.net/browse/" &amp; Planilha!AA150,Planilha!AA150)</f>
        <v>0</v>
      </c>
      <c r="B150" s="72">
        <f>Planilha!C150</f>
        <v>0</v>
      </c>
      <c r="C150" s="72">
        <f>Planilha!D150</f>
        <v>0</v>
      </c>
      <c r="D150" s="72">
        <f>Planilha!L150</f>
        <v>0</v>
      </c>
      <c r="E150" s="73">
        <f>Planilha!S150</f>
        <v>0</v>
      </c>
      <c r="F150" s="74">
        <f>Planilha!P150</f>
        <v>0</v>
      </c>
    </row>
    <row r="151" spans="1:6" hidden="1" x14ac:dyDescent="0.25">
      <c r="A151" s="76">
        <f>HYPERLINK("https://tkebrasil.atlassian.net/browse/" &amp; Planilha!AA151,Planilha!AA151)</f>
        <v>0</v>
      </c>
      <c r="B151" s="72">
        <f>Planilha!C151</f>
        <v>0</v>
      </c>
      <c r="C151" s="72">
        <f>Planilha!D151</f>
        <v>0</v>
      </c>
      <c r="D151" s="72">
        <f>Planilha!L151</f>
        <v>0</v>
      </c>
      <c r="E151" s="73">
        <f>Planilha!S151</f>
        <v>0</v>
      </c>
      <c r="F151" s="74">
        <f>Planilha!P151</f>
        <v>0</v>
      </c>
    </row>
    <row r="152" spans="1:6" hidden="1" x14ac:dyDescent="0.25">
      <c r="A152" s="76">
        <f>HYPERLINK("https://tkebrasil.atlassian.net/browse/" &amp; Planilha!AA152,Planilha!AA152)</f>
        <v>0</v>
      </c>
      <c r="B152" s="72">
        <f>Planilha!C152</f>
        <v>0</v>
      </c>
      <c r="C152" s="72">
        <f>Planilha!D152</f>
        <v>0</v>
      </c>
      <c r="D152" s="72">
        <f>Planilha!L152</f>
        <v>0</v>
      </c>
      <c r="E152" s="73">
        <f>Planilha!S152</f>
        <v>0</v>
      </c>
      <c r="F152" s="74">
        <f>Planilha!P152</f>
        <v>0</v>
      </c>
    </row>
    <row r="153" spans="1:6" hidden="1" x14ac:dyDescent="0.25">
      <c r="A153" s="76">
        <f>HYPERLINK("https://tkebrasil.atlassian.net/browse/" &amp; Planilha!AA153,Planilha!AA153)</f>
        <v>0</v>
      </c>
      <c r="B153" s="72">
        <f>Planilha!C153</f>
        <v>0</v>
      </c>
      <c r="C153" s="72">
        <f>Planilha!D153</f>
        <v>0</v>
      </c>
      <c r="D153" s="72">
        <f>Planilha!L153</f>
        <v>0</v>
      </c>
      <c r="E153" s="73">
        <f>Planilha!S153</f>
        <v>0</v>
      </c>
      <c r="F153" s="74">
        <f>Planilha!P153</f>
        <v>0</v>
      </c>
    </row>
    <row r="154" spans="1:6" hidden="1" x14ac:dyDescent="0.25">
      <c r="A154" s="76">
        <f>HYPERLINK("https://tkebrasil.atlassian.net/browse/" &amp; Planilha!AA154,Planilha!AA154)</f>
        <v>0</v>
      </c>
      <c r="B154" s="72">
        <f>Planilha!C154</f>
        <v>0</v>
      </c>
      <c r="C154" s="72">
        <f>Planilha!D154</f>
        <v>0</v>
      </c>
      <c r="D154" s="72">
        <f>Planilha!L154</f>
        <v>0</v>
      </c>
      <c r="E154" s="73">
        <f>Planilha!S154</f>
        <v>0</v>
      </c>
      <c r="F154" s="74">
        <f>Planilha!P154</f>
        <v>0</v>
      </c>
    </row>
    <row r="155" spans="1:6" hidden="1" x14ac:dyDescent="0.25">
      <c r="A155" s="76">
        <f>HYPERLINK("https://tkebrasil.atlassian.net/browse/" &amp; Planilha!AA155,Planilha!AA155)</f>
        <v>0</v>
      </c>
      <c r="B155" s="72">
        <f>Planilha!C155</f>
        <v>0</v>
      </c>
      <c r="C155" s="72">
        <f>Planilha!D155</f>
        <v>0</v>
      </c>
      <c r="D155" s="72">
        <f>Planilha!L155</f>
        <v>0</v>
      </c>
      <c r="E155" s="73">
        <f>Planilha!S155</f>
        <v>0</v>
      </c>
      <c r="F155" s="74">
        <f>Planilha!P155</f>
        <v>0</v>
      </c>
    </row>
  </sheetData>
  <autoFilter ref="A1:F155" xr:uid="{00000000-0009-0000-0000-000001000000}">
    <filterColumn colId="2">
      <filters>
        <filter val="CR AP Summary"/>
        <filter val="SCTASK0027251"/>
        <filter val="SCTASK0489536"/>
        <filter val="SCTASK0579990"/>
        <filter val="SCTASK0581534"/>
        <filter val="SCTASK0592786"/>
        <filter val="SCTASK0704281"/>
        <filter val="SCTASK0708892"/>
        <filter val="SCTASK0727520"/>
        <filter val="SCTASK0727583"/>
        <filter val="SCTASK0730907"/>
        <filter val="SCTASK0744373"/>
        <filter val="TKE China"/>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0"/>
  <sheetViews>
    <sheetView showGridLines="0" tabSelected="1" workbookViewId="0">
      <selection activeCell="U29" sqref="U29"/>
    </sheetView>
  </sheetViews>
  <sheetFormatPr defaultRowHeight="15" x14ac:dyDescent="0.25"/>
  <cols>
    <col min="1" max="1" width="3.28515625" customWidth="1"/>
    <col min="2" max="2" width="25.42578125" style="6" bestFit="1" customWidth="1"/>
    <col min="3" max="8" width="10.7109375" customWidth="1"/>
    <col min="9" max="9" width="3.85546875" customWidth="1"/>
  </cols>
  <sheetData>
    <row r="2" spans="2:8" x14ac:dyDescent="0.25">
      <c r="B2" s="41"/>
      <c r="C2" s="48" t="str">
        <f>Parâmetros!$J3</f>
        <v>BL</v>
      </c>
      <c r="D2" s="49" t="str">
        <f>Parâmetros!$J4</f>
        <v>CR</v>
      </c>
      <c r="E2" s="49" t="str">
        <f>Parâmetros!$J5</f>
        <v>MP</v>
      </c>
      <c r="F2" s="50" t="s">
        <v>249</v>
      </c>
      <c r="G2" s="97"/>
      <c r="H2" s="98"/>
    </row>
    <row r="3" spans="2:8" ht="14.45" customHeight="1" x14ac:dyDescent="0.25">
      <c r="B3" s="53" t="s">
        <v>18</v>
      </c>
      <c r="C3" s="13">
        <f>SUMIF(Planilha!$AD$2:$AD$2904,C2,Planilha!$S$2:$S$2904)</f>
        <v>112</v>
      </c>
      <c r="D3" s="13">
        <f>SUMIF(Planilha!$AD$2:$AD$2904,D2,Planilha!$S$2:$S$2904)</f>
        <v>23</v>
      </c>
      <c r="E3" s="13">
        <f>SUMIF(Planilha!$AD$2:$AD$2904,E2,Planilha!$S$2:$S$2904)</f>
        <v>2</v>
      </c>
      <c r="F3" s="67">
        <f>SUM(Planilha!S2:S2904)</f>
        <v>137</v>
      </c>
      <c r="G3" s="99"/>
      <c r="H3" s="100"/>
    </row>
    <row r="4" spans="2:8" ht="14.45" customHeight="1" x14ac:dyDescent="0.25">
      <c r="B4" s="81" t="s">
        <v>250</v>
      </c>
      <c r="C4" s="79">
        <f>SUM(Planilha!$AO$2:$AO$2904)</f>
        <v>30</v>
      </c>
      <c r="D4" s="79">
        <f>SUM(Planilha!$AQ$2:$AQ$2904)</f>
        <v>3</v>
      </c>
      <c r="E4" s="79">
        <f>SUM(Planilha!$AS$2:$AS$2904)</f>
        <v>2</v>
      </c>
      <c r="F4" s="80">
        <f>SUM(C4:E4)</f>
        <v>35</v>
      </c>
      <c r="G4" s="99"/>
      <c r="H4" s="100"/>
    </row>
    <row r="5" spans="2:8" ht="14.45" customHeight="1" x14ac:dyDescent="0.25">
      <c r="B5" s="78" t="s">
        <v>251</v>
      </c>
      <c r="C5" s="79">
        <f>SUM(Planilha!$AP$2:$AP$2904)</f>
        <v>50</v>
      </c>
      <c r="D5" s="79">
        <f>SUM(Planilha!$AR$2:$AR$2904)</f>
        <v>10</v>
      </c>
      <c r="E5" s="79">
        <f>SUM(Planilha!$AT$2:$AT$2904)</f>
        <v>0</v>
      </c>
      <c r="F5" s="80">
        <f>SUM(C5:E5)</f>
        <v>60</v>
      </c>
      <c r="G5" s="99"/>
      <c r="H5" s="100"/>
    </row>
    <row r="6" spans="2:8" ht="14.45" customHeight="1" x14ac:dyDescent="0.25">
      <c r="B6" s="54" t="s">
        <v>19</v>
      </c>
      <c r="C6" s="14">
        <f>SUMIF(Planilha!$AD$2:$AD$2904,C2,Planilha!$T$2:$T$2904)</f>
        <v>18.5</v>
      </c>
      <c r="D6" s="14">
        <f>SUMIF(Planilha!$AD$2:$AD$2904,D2,Planilha!$T$2:$T$2904)</f>
        <v>2.5</v>
      </c>
      <c r="E6" s="14">
        <f>SUMIF(Planilha!$AD$2:$AD$2904,E2,Planilha!$T$2:$T$2904)</f>
        <v>0.5</v>
      </c>
      <c r="F6" s="68">
        <f>SUM(Planilha!T2:T2904)</f>
        <v>21.5</v>
      </c>
      <c r="G6" s="99"/>
      <c r="H6" s="100"/>
    </row>
    <row r="7" spans="2:8" ht="14.45" customHeight="1" x14ac:dyDescent="0.25">
      <c r="B7" s="54" t="s">
        <v>252</v>
      </c>
      <c r="C7" s="13">
        <f>COUNTA(_xlfn.UNIQUE(Planilha!AE2:AE2904))-2</f>
        <v>15</v>
      </c>
      <c r="D7" s="13">
        <f>COUNTA(_xlfn.UNIQUE(Planilha!AF2:AF2904))-2</f>
        <v>2</v>
      </c>
      <c r="E7" s="13">
        <f>COUNTA(_xlfn.UNIQUE(Planilha!AG2:AG2904))-2</f>
        <v>1</v>
      </c>
      <c r="F7" s="67">
        <f>COUNTA(_xlfn.UNIQUE(Planilha!U2:U2904))-1</f>
        <v>32</v>
      </c>
      <c r="G7" s="99"/>
      <c r="H7" s="100"/>
    </row>
    <row r="8" spans="2:8" ht="14.45" customHeight="1" x14ac:dyDescent="0.25">
      <c r="B8" s="54" t="s">
        <v>253</v>
      </c>
      <c r="C8" s="13">
        <f>COUNTA(_xlfn.UNIQUE(Planilha!AH2:AH2904))-2</f>
        <v>17</v>
      </c>
      <c r="D8" s="13">
        <f>COUNTA(_xlfn.UNIQUE(Planilha!AI2:AI2904))-2</f>
        <v>2</v>
      </c>
      <c r="E8" s="13">
        <f>COUNTA(_xlfn.UNIQUE(Planilha!AJ2:AJ2904))-2</f>
        <v>1</v>
      </c>
      <c r="F8" s="67">
        <f>COUNTA(_xlfn.UNIQUE(Planilha!V2:V2904))-1</f>
        <v>34</v>
      </c>
      <c r="G8" s="99"/>
      <c r="H8" s="100"/>
    </row>
    <row r="9" spans="2:8" ht="14.45" customHeight="1" x14ac:dyDescent="0.25">
      <c r="B9" s="55" t="s">
        <v>247</v>
      </c>
      <c r="C9" s="13">
        <f>COUNTA(_xlfn.UNIQUE(Planilha!AK2:AK2904))-2</f>
        <v>20</v>
      </c>
      <c r="D9" s="13">
        <f>COUNTA(_xlfn.UNIQUE(Planilha!AL2:AL2904))-2</f>
        <v>2</v>
      </c>
      <c r="E9" s="13">
        <f>COUNTA(_xlfn.UNIQUE(Planilha!AM2:AM2904))-2</f>
        <v>1</v>
      </c>
      <c r="F9" s="67">
        <f>COUNTA(_xlfn.UNIQUE(Planilha!W2:W2904))-1</f>
        <v>37</v>
      </c>
      <c r="G9" s="101"/>
      <c r="H9" s="102"/>
    </row>
    <row r="10" spans="2:8" ht="14.45" customHeight="1" x14ac:dyDescent="0.25">
      <c r="B10" s="91"/>
      <c r="C10" s="88" t="s">
        <v>254</v>
      </c>
      <c r="D10" s="89"/>
      <c r="E10" s="90" t="s">
        <v>255</v>
      </c>
      <c r="F10" s="89"/>
      <c r="G10" s="95" t="s">
        <v>18</v>
      </c>
      <c r="H10" s="93" t="s">
        <v>19</v>
      </c>
    </row>
    <row r="11" spans="2:8" x14ac:dyDescent="0.25">
      <c r="B11" s="92"/>
      <c r="C11" s="51" t="s">
        <v>18</v>
      </c>
      <c r="D11" s="52" t="s">
        <v>19</v>
      </c>
      <c r="E11" s="52" t="s">
        <v>18</v>
      </c>
      <c r="F11" s="52" t="s">
        <v>19</v>
      </c>
      <c r="G11" s="96"/>
      <c r="H11" s="94"/>
    </row>
    <row r="12" spans="2:8" x14ac:dyDescent="0.25">
      <c r="B12" s="56" t="str">
        <f>Parâmetros!F3</f>
        <v>Alexandre Trindade Pereira</v>
      </c>
      <c r="C12" s="13">
        <f>SUMIFS(Planilha!$S$2:$S$2904,Planilha!$L$2:$L$2904,B12,Planilha!$AC$2:$AC$2904,"X")</f>
        <v>10</v>
      </c>
      <c r="D12" s="14">
        <f>SUMIFS(Planilha!$T$2:$T$2904,Planilha!$L$2:$L$2904,B12,Planilha!$AC$2:$AC$2904,"X")</f>
        <v>1</v>
      </c>
      <c r="E12" s="13">
        <f t="shared" ref="E12:F19" si="0">G12-C12</f>
        <v>0</v>
      </c>
      <c r="F12" s="14">
        <f t="shared" si="0"/>
        <v>0</v>
      </c>
      <c r="G12" s="67">
        <f>SUMIF(Planilha!$L$2:$L$2904,B12,Planilha!$S$2:$S$2904)</f>
        <v>10</v>
      </c>
      <c r="H12" s="68">
        <f>SUMIF(Planilha!$L$2:$L$2904,B12,Planilha!$T$2:$T$2904)</f>
        <v>1</v>
      </c>
    </row>
    <row r="13" spans="2:8" x14ac:dyDescent="0.25">
      <c r="B13" s="54" t="str">
        <f>Parâmetros!F4</f>
        <v>Giovani Perotto Mesquita</v>
      </c>
      <c r="C13" s="13">
        <f>SUMIFS(Planilha!$S$2:$S$2904,Planilha!$L$2:$L$2904,B13,Planilha!$AC$2:$AC$2904,"X")</f>
        <v>0</v>
      </c>
      <c r="D13" s="14">
        <f>SUMIFS(Planilha!$T$2:$T$2904,Planilha!$L$2:$L$2904,B13,Planilha!$AC$2:$AC$2904,"X")</f>
        <v>0</v>
      </c>
      <c r="E13" s="13">
        <f t="shared" si="0"/>
        <v>0</v>
      </c>
      <c r="F13" s="14">
        <f t="shared" si="0"/>
        <v>0</v>
      </c>
      <c r="G13" s="67">
        <f>SUMIF(Planilha!$L$2:$L$2904,B13,Planilha!$S$2:$S$2904)</f>
        <v>0</v>
      </c>
      <c r="H13" s="68">
        <f>SUMIF(Planilha!$L$2:$L$2904,B13,Planilha!$T$2:$T$2904)</f>
        <v>0</v>
      </c>
    </row>
    <row r="14" spans="2:8" x14ac:dyDescent="0.25">
      <c r="B14" s="54" t="str">
        <f>Parâmetros!F5</f>
        <v>Luis Henrique Petkovicz</v>
      </c>
      <c r="C14" s="13">
        <f>SUMIFS(Planilha!$S$2:$S$2904,Planilha!$L$2:$L$2904,B14,Planilha!$AC$2:$AC$2904,"X")</f>
        <v>20</v>
      </c>
      <c r="D14" s="14">
        <f>SUMIFS(Planilha!$T$2:$T$2904,Planilha!$L$2:$L$2904,B14,Planilha!$AC$2:$AC$2904,"X")</f>
        <v>2.5</v>
      </c>
      <c r="E14" s="13">
        <f t="shared" si="0"/>
        <v>10</v>
      </c>
      <c r="F14" s="14">
        <f t="shared" si="0"/>
        <v>2.5</v>
      </c>
      <c r="G14" s="67">
        <f>SUMIF(Planilha!$L$2:$L$2904,B14,Planilha!$S$2:$S$2904)</f>
        <v>30</v>
      </c>
      <c r="H14" s="68">
        <f>SUMIF(Planilha!$L$2:$L$2904,B14,Planilha!$T$2:$T$2904)</f>
        <v>5</v>
      </c>
    </row>
    <row r="15" spans="2:8" x14ac:dyDescent="0.25">
      <c r="B15" s="54" t="str">
        <f>Parâmetros!F6</f>
        <v>Luiz Felipe Brandão da Silva</v>
      </c>
      <c r="C15" s="13">
        <f>SUMIFS(Planilha!$S$2:$S$2904,Planilha!$L$2:$L$2904,B15,Planilha!$AC$2:$AC$2904,"X")</f>
        <v>20</v>
      </c>
      <c r="D15" s="14">
        <f>SUMIFS(Planilha!$T$2:$T$2904,Planilha!$L$2:$L$2904,B15,Planilha!$AC$2:$AC$2904,"X")</f>
        <v>3</v>
      </c>
      <c r="E15" s="13">
        <f t="shared" si="0"/>
        <v>2</v>
      </c>
      <c r="F15" s="14">
        <f t="shared" si="0"/>
        <v>0.5</v>
      </c>
      <c r="G15" s="67">
        <f>SUMIF(Planilha!$L$2:$L$2904,B15,Planilha!$S$2:$S$2904)</f>
        <v>22</v>
      </c>
      <c r="H15" s="68">
        <f>SUMIF(Planilha!$L$2:$L$2904,B15,Planilha!$T$2:$T$2904)</f>
        <v>3.5</v>
      </c>
    </row>
    <row r="16" spans="2:8" x14ac:dyDescent="0.25">
      <c r="B16" s="54" t="str">
        <f>Parâmetros!F7</f>
        <v>Pablo Rocha</v>
      </c>
      <c r="C16" s="13">
        <f>SUMIFS(Planilha!$S$2:$S$2904,Planilha!$L$2:$L$2904,B16,Planilha!$AC$2:$AC$2904,"X")</f>
        <v>30</v>
      </c>
      <c r="D16" s="14">
        <f>SUMIFS(Planilha!$T$2:$T$2904,Planilha!$L$2:$L$2904,B16,Planilha!$AC$2:$AC$2904,"X")</f>
        <v>4</v>
      </c>
      <c r="E16" s="13">
        <f t="shared" si="0"/>
        <v>0</v>
      </c>
      <c r="F16" s="14">
        <f t="shared" si="0"/>
        <v>0</v>
      </c>
      <c r="G16" s="67">
        <f>SUMIF(Planilha!$L$2:$L$2904,B16,Planilha!$S$2:$S$2904)</f>
        <v>30</v>
      </c>
      <c r="H16" s="68">
        <f>SUMIF(Planilha!$L$2:$L$2904,B16,Planilha!$T$2:$T$2904)</f>
        <v>4</v>
      </c>
    </row>
    <row r="17" spans="2:8" x14ac:dyDescent="0.25">
      <c r="B17" s="54" t="str">
        <f>Parâmetros!F8</f>
        <v>Regina Albanus</v>
      </c>
      <c r="C17" s="13">
        <f>SUMIFS(Planilha!$S$2:$S$2904,Planilha!$L$2:$L$2904,B17,Planilha!$AC$2:$AC$2904,"X")</f>
        <v>18</v>
      </c>
      <c r="D17" s="14">
        <f>SUMIFS(Planilha!$T$2:$T$2904,Planilha!$L$2:$L$2904,B17,Planilha!$AC$2:$AC$2904,"X")</f>
        <v>3</v>
      </c>
      <c r="E17" s="13">
        <f t="shared" si="0"/>
        <v>12</v>
      </c>
      <c r="F17" s="14">
        <f t="shared" si="0"/>
        <v>3</v>
      </c>
      <c r="G17" s="67">
        <f>SUMIF(Planilha!$L$2:$L$2904,B17,Planilha!$S$2:$S$2904)</f>
        <v>30</v>
      </c>
      <c r="H17" s="68">
        <f>SUMIF(Planilha!$L$2:$L$2904,B17,Planilha!$T$2:$T$2904)</f>
        <v>6</v>
      </c>
    </row>
    <row r="18" spans="2:8" ht="15" customHeight="1" x14ac:dyDescent="0.25">
      <c r="B18" s="54" t="str">
        <f>Parâmetros!F9</f>
        <v>Stephanie Oliveira</v>
      </c>
      <c r="C18" s="13">
        <f>SUMIFS(Planilha!$S$2:$S$2904,Planilha!$L$2:$L$2904,B18,Planilha!$AC$2:$AC$2904,"X")</f>
        <v>0</v>
      </c>
      <c r="D18" s="14">
        <f>SUMIFS(Planilha!$T$2:$T$2904,Planilha!$L$2:$L$2904,B18,Planilha!$AC$2:$AC$2904,"X")</f>
        <v>0</v>
      </c>
      <c r="E18" s="13">
        <f t="shared" si="0"/>
        <v>0</v>
      </c>
      <c r="F18" s="14">
        <f t="shared" si="0"/>
        <v>0</v>
      </c>
      <c r="G18" s="67">
        <f>SUMIF(Planilha!$L$2:$L$2904,B18,Planilha!$S$2:$S$2904)</f>
        <v>0</v>
      </c>
      <c r="H18" s="68">
        <f>SUMIF(Planilha!$L$2:$L$2904,B18,Planilha!$T$2:$T$2904)</f>
        <v>0</v>
      </c>
    </row>
    <row r="19" spans="2:8" ht="15" customHeight="1" x14ac:dyDescent="0.25">
      <c r="B19" s="55" t="str">
        <f>Parâmetros!F10</f>
        <v>Tanise Sarmento</v>
      </c>
      <c r="C19" s="13">
        <f>SUMIFS(Planilha!$S$2:$S$2904,Planilha!$L$2:$L$2904,B19,Planilha!$AC$2:$AC$2904,"X")</f>
        <v>15</v>
      </c>
      <c r="D19" s="14">
        <f>SUMIFS(Planilha!$T$2:$T$2904,Planilha!$L$2:$L$2904,B19,Planilha!$AC$2:$AC$2904,"X")</f>
        <v>2</v>
      </c>
      <c r="E19" s="13">
        <f t="shared" si="0"/>
        <v>0</v>
      </c>
      <c r="F19" s="14">
        <f t="shared" si="0"/>
        <v>0</v>
      </c>
      <c r="G19" s="67">
        <f>SUMIF(Planilha!$L$2:$L$2904,B19,Planilha!$S$2:$S$2904)</f>
        <v>15</v>
      </c>
      <c r="H19" s="68">
        <f>SUMIF(Planilha!$L$2:$L$2904,B19,Planilha!$T$2:$T$2904)</f>
        <v>2</v>
      </c>
    </row>
    <row r="20" spans="2:8" x14ac:dyDescent="0.25">
      <c r="B20" s="8"/>
      <c r="C20" s="67">
        <f t="shared" ref="C20:H20" si="1">SUM(C12:C19)</f>
        <v>113</v>
      </c>
      <c r="D20" s="68">
        <f t="shared" si="1"/>
        <v>15.5</v>
      </c>
      <c r="E20" s="67">
        <f t="shared" si="1"/>
        <v>24</v>
      </c>
      <c r="F20" s="68">
        <f t="shared" si="1"/>
        <v>6</v>
      </c>
      <c r="G20" s="65">
        <f t="shared" si="1"/>
        <v>137</v>
      </c>
      <c r="H20" s="66">
        <f t="shared" si="1"/>
        <v>21.5</v>
      </c>
    </row>
  </sheetData>
  <mergeCells count="6">
    <mergeCell ref="G2:H9"/>
    <mergeCell ref="C10:D10"/>
    <mergeCell ref="E10:F10"/>
    <mergeCell ref="B10:B11"/>
    <mergeCell ref="H10:H11"/>
    <mergeCell ref="G10:G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12"/>
  <sheetViews>
    <sheetView showGridLines="0" workbookViewId="0"/>
  </sheetViews>
  <sheetFormatPr defaultColWidth="8.7109375" defaultRowHeight="15" x14ac:dyDescent="0.25"/>
  <cols>
    <col min="1" max="1" width="2.28515625" customWidth="1"/>
    <col min="2" max="2" width="23.85546875" bestFit="1" customWidth="1"/>
    <col min="3" max="3" width="2.28515625" customWidth="1"/>
    <col min="4" max="4" width="19.7109375" customWidth="1"/>
    <col min="5" max="5" width="2.28515625" customWidth="1"/>
    <col min="6" max="6" width="25.140625" bestFit="1" customWidth="1"/>
    <col min="7" max="7" width="9.85546875" bestFit="1" customWidth="1"/>
    <col min="8" max="8" width="46.5703125" bestFit="1" customWidth="1"/>
    <col min="9" max="9" width="2.28515625" customWidth="1"/>
    <col min="10" max="10" width="7.85546875" bestFit="1" customWidth="1"/>
    <col min="11" max="11" width="29.5703125" bestFit="1" customWidth="1"/>
    <col min="12" max="12" width="2.28515625" customWidth="1"/>
    <col min="13" max="13" width="8.7109375" bestFit="1" customWidth="1"/>
    <col min="14" max="14" width="9.28515625" bestFit="1" customWidth="1"/>
    <col min="15" max="15" width="2.28515625" customWidth="1"/>
  </cols>
  <sheetData>
    <row r="2" spans="2:14" x14ac:dyDescent="0.25">
      <c r="B2" s="1" t="s">
        <v>256</v>
      </c>
      <c r="D2" s="1" t="s">
        <v>257</v>
      </c>
      <c r="F2" t="s">
        <v>258</v>
      </c>
      <c r="G2" t="s">
        <v>259</v>
      </c>
      <c r="H2" t="s">
        <v>260</v>
      </c>
      <c r="J2" t="s">
        <v>261</v>
      </c>
      <c r="K2" t="s">
        <v>248</v>
      </c>
      <c r="M2" s="63" t="s">
        <v>18</v>
      </c>
      <c r="N2" s="63" t="s">
        <v>19</v>
      </c>
    </row>
    <row r="3" spans="2:14" ht="14.45" customHeight="1" x14ac:dyDescent="0.25">
      <c r="B3" s="2" t="s">
        <v>27</v>
      </c>
      <c r="D3" s="2" t="s">
        <v>262</v>
      </c>
      <c r="F3" t="s">
        <v>30</v>
      </c>
      <c r="G3" t="s">
        <v>263</v>
      </c>
      <c r="H3" t="s">
        <v>264</v>
      </c>
      <c r="J3" t="s">
        <v>62</v>
      </c>
      <c r="K3" t="s">
        <v>265</v>
      </c>
      <c r="M3" s="64">
        <v>7.9</v>
      </c>
      <c r="N3" s="64">
        <v>0.5</v>
      </c>
    </row>
    <row r="4" spans="2:14" x14ac:dyDescent="0.25">
      <c r="B4" s="2" t="s">
        <v>266</v>
      </c>
      <c r="D4" s="2" t="s">
        <v>67</v>
      </c>
      <c r="F4" t="s">
        <v>29</v>
      </c>
      <c r="G4" t="s">
        <v>9</v>
      </c>
      <c r="H4" t="s">
        <v>267</v>
      </c>
      <c r="J4" t="s">
        <v>37</v>
      </c>
      <c r="K4" t="s">
        <v>268</v>
      </c>
      <c r="M4" s="64">
        <v>23.9</v>
      </c>
      <c r="N4" s="64">
        <v>1</v>
      </c>
    </row>
    <row r="5" spans="2:14" x14ac:dyDescent="0.25">
      <c r="B5" s="2" t="s">
        <v>269</v>
      </c>
      <c r="D5" s="2" t="s">
        <v>270</v>
      </c>
      <c r="F5" t="s">
        <v>57</v>
      </c>
      <c r="G5" t="s">
        <v>271</v>
      </c>
      <c r="H5" t="s">
        <v>272</v>
      </c>
      <c r="J5" t="s">
        <v>47</v>
      </c>
      <c r="K5" t="s">
        <v>273</v>
      </c>
      <c r="M5" s="64">
        <v>39.9</v>
      </c>
      <c r="N5" s="64">
        <v>2</v>
      </c>
    </row>
    <row r="6" spans="2:14" x14ac:dyDescent="0.25">
      <c r="B6" s="3" t="s">
        <v>40</v>
      </c>
      <c r="D6" s="2" t="s">
        <v>274</v>
      </c>
      <c r="F6" t="s">
        <v>94</v>
      </c>
      <c r="G6" t="s">
        <v>271</v>
      </c>
      <c r="H6" t="s">
        <v>275</v>
      </c>
      <c r="M6" s="64">
        <v>59.9</v>
      </c>
      <c r="N6" s="64">
        <v>3</v>
      </c>
    </row>
    <row r="7" spans="2:14" x14ac:dyDescent="0.25">
      <c r="D7" s="2" t="s">
        <v>276</v>
      </c>
      <c r="F7" t="s">
        <v>65</v>
      </c>
      <c r="G7" t="s">
        <v>271</v>
      </c>
      <c r="H7" t="s">
        <v>277</v>
      </c>
      <c r="M7" s="64">
        <v>79.900000000000006</v>
      </c>
      <c r="N7" s="64">
        <v>5</v>
      </c>
    </row>
    <row r="8" spans="2:14" x14ac:dyDescent="0.25">
      <c r="D8" s="2" t="s">
        <v>87</v>
      </c>
      <c r="F8" t="s">
        <v>78</v>
      </c>
      <c r="G8" t="s">
        <v>271</v>
      </c>
      <c r="H8" t="s">
        <v>278</v>
      </c>
      <c r="M8" s="64">
        <v>99.9</v>
      </c>
      <c r="N8" s="64">
        <v>8</v>
      </c>
    </row>
    <row r="9" spans="2:14" ht="14.45" customHeight="1" x14ac:dyDescent="0.25">
      <c r="D9" s="2" t="s">
        <v>32</v>
      </c>
      <c r="F9" t="s">
        <v>279</v>
      </c>
      <c r="G9" t="s">
        <v>9</v>
      </c>
      <c r="H9" t="s">
        <v>280</v>
      </c>
      <c r="M9" s="64">
        <v>9999999</v>
      </c>
      <c r="N9" s="64">
        <v>13</v>
      </c>
    </row>
    <row r="10" spans="2:14" ht="15" customHeight="1" x14ac:dyDescent="0.25">
      <c r="D10" s="2" t="s">
        <v>281</v>
      </c>
      <c r="F10" t="s">
        <v>41</v>
      </c>
      <c r="G10" t="s">
        <v>9</v>
      </c>
      <c r="H10" t="s">
        <v>282</v>
      </c>
    </row>
    <row r="11" spans="2:14" x14ac:dyDescent="0.25">
      <c r="D11" s="2" t="s">
        <v>283</v>
      </c>
    </row>
    <row r="12" spans="2:14" x14ac:dyDescent="0.25">
      <c r="D12" s="3" t="s">
        <v>284</v>
      </c>
    </row>
  </sheetData>
  <pageMargins left="0.511811024" right="0.511811024" top="0.78740157499999996" bottom="0.78740157499999996" header="0.31496062000000002" footer="0.31496062000000002"/>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Planilha</vt:lpstr>
      <vt:lpstr>Firmadas</vt:lpstr>
      <vt:lpstr>Métricas</vt:lpstr>
      <vt:lpstr>Parâmetros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PEROTTO MESQUITA, GIOVANI</dc:creator>
  <cp:lastModifiedBy>Giovani Mesquita</cp:lastModifiedBy>
  <dcterms:created xsi:type="dcterms:W3CDTF">2025-09-30T14:23:45Z</dcterms:created>
  <dcterms:modified xsi:type="dcterms:W3CDTF">2026-09-07T22:45:27Z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0x0101003AA76C533D05464883196520997177C7</vt:lpwstr>
  </property>
  <property fmtid="{D5CDD505-2E9C-101B-9397-08002B2CF9AE}" pid="3" name="MediaServiceImageTags">
    <vt:lpwstr/>
  </property>
</Properties>
</file>