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432" tabRatio="458" firstSheet="0" activeTab="0" autoFilterDateGrouping="1"/>
  </bookViews>
  <sheets>
    <sheet name="Planilha" sheetId="1" state="visible" r:id="rId1"/>
    <sheet name="Firmadas" sheetId="2" state="visible" r:id="rId2"/>
    <sheet name="Métricas" sheetId="3" state="visible" r:id="rId3"/>
    <sheet name="Parâmetros" sheetId="4" state="visible" r:id="rId4"/>
  </sheets>
  <definedNames>
    <definedName name="_xlnm._FilterDatabase" localSheetId="0" hidden="1">'Planilha'!$A$1:$W$53</definedName>
    <definedName name="_xlnm._FilterDatabase" localSheetId="1" hidden="1">'Firmadas'!$A$1:$F$142</definedName>
  </definedNames>
  <calcPr calcId="191028" fullCalcOnLoad="1"/>
</workbook>
</file>

<file path=xl/styles.xml><?xml version="1.0" encoding="utf-8"?>
<styleSheet xmlns="http://schemas.openxmlformats.org/spreadsheetml/2006/main">
  <numFmts count="1">
    <numFmt numFmtId="164" formatCode="0.0"/>
  </numFmts>
  <fonts count="14">
    <font>
      <name val="Aptos Narrow"/>
      <family val="2"/>
      <color theme="1"/>
      <sz val="11"/>
      <scheme val="minor"/>
    </font>
    <font>
      <name val="Aptos Narrow"/>
      <family val="2"/>
      <b val="1"/>
      <color theme="1"/>
      <sz val="11"/>
      <scheme val="minor"/>
    </font>
    <font>
      <name val="Aptos Narrow"/>
      <family val="2"/>
      <color theme="10"/>
      <sz val="11"/>
      <u val="single"/>
      <scheme val="minor"/>
    </font>
    <font>
      <name val="Aptos Narrow"/>
      <family val="2"/>
      <sz val="11"/>
      <scheme val="minor"/>
    </font>
    <font>
      <name val="Aptos Narrow"/>
      <family val="2"/>
      <b val="1"/>
      <color theme="0"/>
      <sz val="11"/>
      <scheme val="minor"/>
    </font>
    <font>
      <name val="Aptos Narrow"/>
      <family val="2"/>
      <color theme="1"/>
      <sz val="11"/>
      <u val="single"/>
      <scheme val="minor"/>
    </font>
    <font>
      <name val="Aptos Narrow"/>
      <family val="2"/>
      <sz val="11"/>
      <u val="single"/>
      <scheme val="minor"/>
    </font>
    <font>
      <name val="Aptos Narrow"/>
      <charset val="1"/>
      <color rgb="FF242424"/>
      <sz val="11"/>
    </font>
    <font>
      <name val="Consolas"/>
      <family val="3"/>
      <color rgb="FF242424"/>
      <sz val="11"/>
    </font>
    <font>
      <name val="Consolas"/>
      <family val="3"/>
      <b val="1"/>
      <color rgb="FF242424"/>
      <sz val="11"/>
    </font>
    <font>
      <name val="Aptos Narrow"/>
      <family val="2"/>
      <color rgb="FF000000"/>
      <sz val="11"/>
      <scheme val="minor"/>
    </font>
    <font>
      <name val="Aptos Narrow"/>
      <family val="2"/>
      <color theme="1"/>
      <sz val="11"/>
    </font>
    <font>
      <name val="Aptos Narrow"/>
      <family val="2"/>
      <color rgb="FF000000"/>
      <sz val="11"/>
    </font>
    <font>
      <name val="Aptos Narrow"/>
      <family val="2"/>
      <sz val="8"/>
      <scheme val="minor"/>
    </font>
  </fonts>
  <fills count="10">
    <fill>
      <patternFill/>
    </fill>
    <fill>
      <patternFill patternType="gray125"/>
    </fill>
    <fill>
      <patternFill patternType="solid">
        <fgColor theme="1"/>
        <bgColor theme="1"/>
      </patternFill>
    </fill>
    <fill>
      <patternFill patternType="solid">
        <fgColor theme="3" tint="0.249977111117893"/>
        <bgColor indexed="64"/>
      </patternFill>
    </fill>
    <fill>
      <patternFill patternType="darkUp"/>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0" tint="-0.3499862666707358"/>
        <bgColor indexed="64"/>
      </patternFill>
    </fill>
    <fill>
      <patternFill patternType="solid">
        <fgColor theme="0" tint="-0.1499984740745262"/>
        <bgColor indexed="64"/>
      </patternFill>
    </fill>
  </fills>
  <borders count="33">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diagonalUp="1">
      <left/>
      <right style="thin">
        <color indexed="64"/>
      </right>
      <top/>
      <bottom style="thin">
        <color rgb="FF000000"/>
      </bottom>
      <diagonal style="medium">
        <color rgb="FF000000"/>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rgb="FF000000"/>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rgb="FF000000"/>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rgb="FF000000"/>
      </left>
      <right style="thin">
        <color indexed="64"/>
      </right>
      <top style="thin">
        <color rgb="FF000000"/>
      </top>
      <bottom style="thin">
        <color theme="0"/>
      </bottom>
      <diagonal/>
    </border>
    <border>
      <left style="thin">
        <color rgb="FF000000"/>
      </left>
      <right style="thin">
        <color indexed="64"/>
      </right>
      <top style="thin">
        <color theme="0"/>
      </top>
      <bottom style="thin">
        <color theme="0"/>
      </bottom>
      <diagonal/>
    </border>
    <border>
      <left style="thin">
        <color rgb="FF000000"/>
      </left>
      <right style="thin">
        <color indexed="64"/>
      </right>
      <top style="thin">
        <color theme="0"/>
      </top>
      <bottom style="thin">
        <color rgb="FF000000"/>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theme="0"/>
      </right>
      <top style="thin">
        <color indexed="64"/>
      </top>
      <bottom style="thin">
        <color theme="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bottom/>
      <diagonal/>
    </border>
    <border>
      <left style="thin">
        <color theme="0"/>
      </left>
      <right style="thin">
        <color theme="0"/>
      </right>
      <top/>
      <bottom/>
      <diagonal/>
    </border>
    <border>
      <left style="thin">
        <color rgb="FF000000"/>
      </left>
      <right/>
      <top/>
      <bottom/>
      <diagonal/>
    </border>
    <border>
      <left/>
      <right style="thin">
        <color theme="0"/>
      </right>
      <top style="thin">
        <color indexed="64"/>
      </top>
      <bottom/>
      <diagonal/>
    </border>
  </borders>
  <cellStyleXfs count="2">
    <xf numFmtId="0" fontId="0" fillId="0" borderId="0"/>
    <xf numFmtId="0" fontId="2" fillId="0" borderId="0"/>
  </cellStyleXfs>
  <cellXfs count="97">
    <xf numFmtId="0" fontId="0" fillId="0" borderId="0" pivotButton="0" quotePrefix="0" xfId="0"/>
    <xf numFmtId="0" fontId="1" fillId="0" borderId="1" pivotButton="0" quotePrefix="0" xfId="0"/>
    <xf numFmtId="0" fontId="0" fillId="0" borderId="2" pivotButton="0" quotePrefix="0" xfId="0"/>
    <xf numFmtId="0" fontId="0" fillId="0" borderId="3" pivotButton="0" quotePrefix="0" xfId="0"/>
    <xf numFmtId="0" fontId="3" fillId="0" borderId="0" pivotButton="0" quotePrefix="0" xfId="0"/>
    <xf numFmtId="49" fontId="0" fillId="0" borderId="0" pivotButton="0" quotePrefix="0" xfId="0"/>
    <xf numFmtId="0" fontId="0" fillId="0" borderId="0" applyAlignment="1" pivotButton="0" quotePrefix="0" xfId="0">
      <alignment horizontal="right"/>
    </xf>
    <xf numFmtId="1" fontId="0" fillId="0" borderId="0" pivotButton="0" quotePrefix="0" xfId="0"/>
    <xf numFmtId="0" fontId="4" fillId="4" borderId="4" applyAlignment="1" pivotButton="0" quotePrefix="0" xfId="0">
      <alignment horizontal="right"/>
    </xf>
    <xf numFmtId="0" fontId="0" fillId="0" borderId="0" applyAlignment="1" pivotButton="0" quotePrefix="0" xfId="0">
      <alignment horizontal="center"/>
    </xf>
    <xf numFmtId="1" fontId="0" fillId="0" borderId="5" pivotButton="0" quotePrefix="0" xfId="0"/>
    <xf numFmtId="0" fontId="0" fillId="0" borderId="5" pivotButton="0" quotePrefix="0" xfId="0"/>
    <xf numFmtId="0" fontId="3" fillId="0" borderId="0" applyAlignment="1" pivotButton="0" quotePrefix="0" xfId="0">
      <alignment horizontal="center"/>
    </xf>
    <xf numFmtId="1" fontId="8" fillId="0" borderId="5" pivotButton="0" quotePrefix="0" xfId="0"/>
    <xf numFmtId="164" fontId="8" fillId="0" borderId="5" pivotButton="0" quotePrefix="0" xfId="0"/>
    <xf numFmtId="0" fontId="4" fillId="2" borderId="5" applyAlignment="1" pivotButton="0" quotePrefix="0" xfId="0">
      <alignment horizontal="left" vertical="top"/>
    </xf>
    <xf numFmtId="0" fontId="4" fillId="2" borderId="5" applyAlignment="1" pivotButton="0" quotePrefix="0" xfId="0">
      <alignment horizontal="center" vertical="top"/>
    </xf>
    <xf numFmtId="14" fontId="0" fillId="5" borderId="5" pivotButton="0" quotePrefix="0" xfId="0"/>
    <xf numFmtId="49" fontId="0" fillId="5" borderId="5" pivotButton="0" quotePrefix="0" xfId="0"/>
    <xf numFmtId="0" fontId="0" fillId="5" borderId="5" pivotButton="0" quotePrefix="0" xfId="0"/>
    <xf numFmtId="0" fontId="6" fillId="5" borderId="5" applyAlignment="1" pivotButton="0" quotePrefix="0" xfId="0">
      <alignment horizontal="left" vertical="top"/>
    </xf>
    <xf numFmtId="0" fontId="3" fillId="5" borderId="5" applyAlignment="1" pivotButton="0" quotePrefix="0" xfId="0">
      <alignment horizontal="right" vertical="top"/>
    </xf>
    <xf numFmtId="0" fontId="5" fillId="5" borderId="5" pivotButton="0" quotePrefix="0" xfId="1"/>
    <xf numFmtId="0" fontId="3" fillId="5" borderId="5" applyAlignment="1" pivotButton="0" quotePrefix="0" xfId="0">
      <alignment horizontal="left" vertical="top"/>
    </xf>
    <xf numFmtId="0" fontId="7" fillId="5" borderId="5" pivotButton="0" quotePrefix="0" xfId="0"/>
    <xf numFmtId="1" fontId="0" fillId="5" borderId="5" pivotButton="0" quotePrefix="0" xfId="0"/>
    <xf numFmtId="0" fontId="0" fillId="5" borderId="5" applyAlignment="1" pivotButton="0" quotePrefix="0" xfId="0">
      <alignment horizontal="right"/>
    </xf>
    <xf numFmtId="0" fontId="3" fillId="5" borderId="5" applyAlignment="1" pivotButton="0" quotePrefix="0" xfId="0">
      <alignment horizontal="center"/>
    </xf>
    <xf numFmtId="14" fontId="0" fillId="0" borderId="5" pivotButton="0" quotePrefix="0" xfId="0"/>
    <xf numFmtId="49" fontId="0" fillId="0" borderId="5" pivotButton="0" quotePrefix="0" xfId="0"/>
    <xf numFmtId="0" fontId="6" fillId="0" borderId="5" applyAlignment="1" pivotButton="0" quotePrefix="0" xfId="0">
      <alignment horizontal="left" vertical="top"/>
    </xf>
    <xf numFmtId="0" fontId="3" fillId="0" borderId="5" applyAlignment="1" pivotButton="0" quotePrefix="0" xfId="0">
      <alignment horizontal="right" vertical="top"/>
    </xf>
    <xf numFmtId="0" fontId="5" fillId="0" borderId="5" pivotButton="0" quotePrefix="0" xfId="1"/>
    <xf numFmtId="0" fontId="3" fillId="0" borderId="5" applyAlignment="1" pivotButton="0" quotePrefix="0" xfId="0">
      <alignment horizontal="left" vertical="top"/>
    </xf>
    <xf numFmtId="0" fontId="0" fillId="0" borderId="5" applyAlignment="1" pivotButton="0" quotePrefix="0" xfId="0">
      <alignment horizontal="right"/>
    </xf>
    <xf numFmtId="0" fontId="3" fillId="7" borderId="5" applyAlignment="1" pivotButton="0" quotePrefix="0" xfId="0">
      <alignment horizontal="center"/>
    </xf>
    <xf numFmtId="0" fontId="3" fillId="0" borderId="5" pivotButton="0" quotePrefix="0" xfId="0"/>
    <xf numFmtId="0" fontId="0" fillId="0" borderId="5" applyAlignment="1" pivotButton="0" quotePrefix="0" xfId="0">
      <alignment vertical="top" wrapText="1"/>
    </xf>
    <xf numFmtId="0" fontId="0" fillId="7" borderId="5" applyAlignment="1" pivotButton="0" quotePrefix="0" xfId="0">
      <alignment horizontal="center"/>
    </xf>
    <xf numFmtId="0" fontId="3" fillId="0" borderId="5" applyAlignment="1" pivotButton="0" quotePrefix="0" xfId="0">
      <alignment vertical="top" wrapText="1"/>
    </xf>
    <xf numFmtId="0" fontId="2" fillId="0" borderId="5" pivotButton="0" quotePrefix="0" xfId="1"/>
    <xf numFmtId="0" fontId="7" fillId="0" borderId="5" pivotButton="0" quotePrefix="0" xfId="0"/>
    <xf numFmtId="0" fontId="0" fillId="0" borderId="7" applyAlignment="1" pivotButton="0" quotePrefix="0" xfId="0">
      <alignment horizontal="right"/>
    </xf>
    <xf numFmtId="0" fontId="0" fillId="3" borderId="5" pivotButton="0" quotePrefix="0" xfId="0"/>
    <xf numFmtId="0" fontId="2" fillId="7" borderId="5" applyAlignment="1" pivotButton="0" quotePrefix="0" xfId="1">
      <alignment horizontal="center"/>
    </xf>
    <xf numFmtId="0" fontId="0" fillId="0" borderId="5" applyAlignment="1" pivotButton="0" quotePrefix="0" xfId="0">
      <alignment horizontal="center"/>
    </xf>
    <xf numFmtId="0" fontId="0" fillId="3" borderId="5" applyAlignment="1" pivotButton="0" quotePrefix="0" xfId="0">
      <alignment horizontal="center"/>
    </xf>
    <xf numFmtId="0" fontId="3" fillId="0" borderId="5" applyAlignment="1" pivotButton="0" quotePrefix="0" xfId="0">
      <alignment horizontal="center"/>
    </xf>
    <xf numFmtId="0" fontId="10" fillId="0" borderId="5" pivotButton="0" quotePrefix="0" xfId="0"/>
    <xf numFmtId="0" fontId="4" fillId="6" borderId="8" applyAlignment="1" pivotButton="0" quotePrefix="0" xfId="0">
      <alignment horizontal="center"/>
    </xf>
    <xf numFmtId="0" fontId="4" fillId="6" borderId="9" applyAlignment="1" pivotButton="0" quotePrefix="0" xfId="0">
      <alignment horizontal="center"/>
    </xf>
    <xf numFmtId="0" fontId="4" fillId="6" borderId="10" applyAlignment="1" pivotButton="0" quotePrefix="0" xfId="0">
      <alignment horizontal="center"/>
    </xf>
    <xf numFmtId="1" fontId="4" fillId="2" borderId="14" applyAlignment="1" pivotButton="0" quotePrefix="0" xfId="0">
      <alignment horizontal="center"/>
    </xf>
    <xf numFmtId="1" fontId="4" fillId="2" borderId="15" applyAlignment="1" pivotButton="0" quotePrefix="0" xfId="0">
      <alignment horizontal="center"/>
    </xf>
    <xf numFmtId="1" fontId="4" fillId="2" borderId="16" applyAlignment="1" pivotButton="0" quotePrefix="0" xfId="0">
      <alignment horizontal="right"/>
    </xf>
    <xf numFmtId="0" fontId="4" fillId="2" borderId="17" applyAlignment="1" pivotButton="0" quotePrefix="0" xfId="0">
      <alignment horizontal="right"/>
    </xf>
    <xf numFmtId="0" fontId="4" fillId="2" borderId="18" applyAlignment="1" pivotButton="0" quotePrefix="0" xfId="0">
      <alignment horizontal="right"/>
    </xf>
    <xf numFmtId="0" fontId="4" fillId="2" borderId="16" applyAlignment="1" pivotButton="0" quotePrefix="0" xfId="0">
      <alignment horizontal="right"/>
    </xf>
    <xf numFmtId="0" fontId="4" fillId="2" borderId="5" pivotButton="0" quotePrefix="0" xfId="0"/>
    <xf numFmtId="49" fontId="4" fillId="2" borderId="5" pivotButton="0" quotePrefix="0" xfId="0"/>
    <xf numFmtId="0" fontId="4" fillId="2" borderId="5" applyAlignment="1" pivotButton="0" quotePrefix="0" xfId="0">
      <alignment horizontal="right" vertical="top"/>
    </xf>
    <xf numFmtId="0" fontId="4" fillId="2" borderId="5" applyAlignment="1" pivotButton="0" quotePrefix="0" xfId="0">
      <alignment horizontal="left"/>
    </xf>
    <xf numFmtId="0" fontId="3" fillId="3" borderId="5" pivotButton="0" quotePrefix="0" xfId="0"/>
    <xf numFmtId="0" fontId="2" fillId="5" borderId="5" applyAlignment="1" pivotButton="0" quotePrefix="0" xfId="1">
      <alignment horizontal="center"/>
    </xf>
    <xf numFmtId="0" fontId="11" fillId="0" borderId="0" pivotButton="0" quotePrefix="0" xfId="0"/>
    <xf numFmtId="0" fontId="12" fillId="0" borderId="0" pivotButton="0" quotePrefix="0" xfId="0"/>
    <xf numFmtId="1" fontId="9" fillId="8" borderId="5" pivotButton="0" quotePrefix="0" xfId="0"/>
    <xf numFmtId="164" fontId="9" fillId="8" borderId="5" pivotButton="0" quotePrefix="0" xfId="0"/>
    <xf numFmtId="1" fontId="9" fillId="9" borderId="5" pivotButton="0" quotePrefix="0" xfId="0"/>
    <xf numFmtId="164" fontId="9" fillId="9" borderId="5" pivotButton="0" quotePrefix="0" xfId="0"/>
    <xf numFmtId="0" fontId="0" fillId="0" borderId="0" applyAlignment="1" pivotButton="0" quotePrefix="0" xfId="0">
      <alignment wrapText="1"/>
    </xf>
    <xf numFmtId="0" fontId="4" fillId="6" borderId="4" pivotButton="0" quotePrefix="0" xfId="0"/>
    <xf numFmtId="0" fontId="4" fillId="6" borderId="4" applyAlignment="1" pivotButton="0" quotePrefix="0" xfId="0">
      <alignment wrapText="1"/>
    </xf>
    <xf numFmtId="0" fontId="0" fillId="0" borderId="4" applyAlignment="1" pivotButton="0" quotePrefix="0" xfId="0">
      <alignment vertical="top"/>
    </xf>
    <xf numFmtId="1" fontId="0" fillId="0" borderId="4" applyAlignment="1" pivotButton="0" quotePrefix="0" xfId="0">
      <alignment vertical="top"/>
    </xf>
    <xf numFmtId="0" fontId="0" fillId="0" borderId="4" applyAlignment="1" pivotButton="0" quotePrefix="0" xfId="0">
      <alignment vertical="top" wrapText="1"/>
    </xf>
    <xf numFmtId="0" fontId="4" fillId="6" borderId="4" applyAlignment="1" pivotButton="0" quotePrefix="0" xfId="0">
      <alignment horizontal="left" vertical="top"/>
    </xf>
    <xf numFmtId="0" fontId="2" fillId="0" borderId="4" applyAlignment="1" pivotButton="0" quotePrefix="0" xfId="1">
      <alignment horizontal="left" vertical="top"/>
    </xf>
    <xf numFmtId="0" fontId="0" fillId="0" borderId="0" applyAlignment="1" pivotButton="0" quotePrefix="0" xfId="0">
      <alignment horizontal="left" vertical="top"/>
    </xf>
    <xf numFmtId="0" fontId="4" fillId="3" borderId="5" applyAlignment="1" pivotButton="0" quotePrefix="0" xfId="0">
      <alignment horizontal="center"/>
    </xf>
    <xf numFmtId="0" fontId="0" fillId="0" borderId="2" pivotButton="0" quotePrefix="0" xfId="0"/>
    <xf numFmtId="0" fontId="0" fillId="0" borderId="20" pivotButton="0" quotePrefix="0" xfId="0"/>
    <xf numFmtId="0" fontId="0" fillId="4" borderId="5" applyAlignment="1" pivotButton="0" quotePrefix="0" xfId="0">
      <alignment horizontal="center"/>
    </xf>
    <xf numFmtId="0" fontId="0" fillId="0" borderId="19"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1" fontId="4" fillId="2" borderId="12" applyAlignment="1" pivotButton="0" quotePrefix="0" xfId="0">
      <alignment horizontal="center" vertical="center"/>
    </xf>
    <xf numFmtId="0" fontId="0" fillId="0" borderId="27" pivotButton="0" quotePrefix="0" xfId="0"/>
    <xf numFmtId="1" fontId="4" fillId="2" borderId="13" applyAlignment="1" pivotButton="0" quotePrefix="0" xfId="0">
      <alignment horizontal="center" vertical="center"/>
    </xf>
    <xf numFmtId="0" fontId="0" fillId="0" borderId="28" pivotButton="0" quotePrefix="0" xfId="0"/>
    <xf numFmtId="0" fontId="4" fillId="4" borderId="26" applyAlignment="1" pivotButton="0" quotePrefix="0" xfId="0">
      <alignment horizontal="center"/>
    </xf>
    <xf numFmtId="0" fontId="0" fillId="0" borderId="6" pivotButton="0" quotePrefix="0" xfId="0"/>
    <xf numFmtId="1" fontId="4" fillId="2" borderId="12" applyAlignment="1" pivotButton="0" quotePrefix="0" xfId="0">
      <alignment horizontal="center"/>
    </xf>
    <xf numFmtId="0" fontId="0" fillId="0" borderId="21" pivotButton="0" quotePrefix="0" xfId="0"/>
    <xf numFmtId="1" fontId="4" fillId="2" borderId="11" applyAlignment="1" pivotButton="0" quotePrefix="0" xfId="0">
      <alignment horizontal="center"/>
    </xf>
  </cellXfs>
  <cellStyles count="2">
    <cellStyle name="Normal" xfId="0" builtinId="0"/>
    <cellStyle name="Hiperlink" xfId="1" builtinId="8"/>
  </cellStyles>
  <dxfs count="15">
    <dxf>
      <fill>
        <patternFill>
          <bgColor rgb="FFFFFF00"/>
        </patternFill>
      </fill>
    </dxf>
    <dxf>
      <font>
        <name val="Aptos Narrow"/>
        <family val="2"/>
        <strike val="0"/>
        <outline val="0"/>
        <shadow val="0"/>
        <condense val="0"/>
        <color rgb="FF000000"/>
        <extend val="0"/>
        <sz val="11"/>
        <vertAlign val="baseline"/>
      </font>
    </dxf>
    <dxf>
      <font>
        <name val="Aptos Narrow"/>
        <family val="2"/>
        <strike val="0"/>
        <outline val="0"/>
        <shadow val="0"/>
        <condense val="0"/>
        <color rgb="FF000000"/>
        <extend val="0"/>
        <sz val="11"/>
        <vertAlign val="baseline"/>
      </font>
      <fill>
        <patternFill>
          <fgColor indexed="64"/>
          <bgColor auto="1"/>
        </patternFill>
      </fill>
    </dxf>
    <dxf>
      <font>
        <name val="Aptos Narrow"/>
        <family val="2"/>
        <strike val="0"/>
        <outline val="0"/>
        <shadow val="0"/>
        <sz val="11"/>
        <vertAlign val="baseline"/>
      </font>
    </dxf>
    <dxf>
      <font>
        <name val="Aptos Narrow"/>
        <family val="2"/>
        <strike val="0"/>
        <outline val="0"/>
        <shadow val="0"/>
        <sz val="11"/>
        <vertAlign val="baseline"/>
      </font>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ptos Narrow"/>
        <family val="2"/>
        <b val="1"/>
        <strike val="0"/>
        <outline val="0"/>
        <shadow val="0"/>
        <condense val="0"/>
        <color theme="1"/>
        <extend val="0"/>
        <sz val="11"/>
        <vertAlign val="baseline"/>
        <scheme val="minor"/>
      </font>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ptos Narrow"/>
        <family val="2"/>
        <b val="1"/>
        <strike val="0"/>
        <outline val="0"/>
        <shadow val="0"/>
        <condense val="0"/>
        <color theme="1"/>
        <extend val="0"/>
        <sz val="11"/>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ela3" displayName="Tabela3" ref="B2:B6" headerRowCount="1" totalsRowShown="0" headerRowDxfId="14" headerRowBorderDxfId="13" tableBorderDxfId="12" totalsRowBorderDxfId="11">
  <autoFilter ref="B2:B6"/>
  <tableColumns count="1">
    <tableColumn id="1" name="Tipos Jira" dataDxfId="10"/>
  </tableColumns>
  <tableStyleInfo name="TableStyleMedium2" showFirstColumn="0" showLastColumn="0" showRowStripes="1" showColumnStripes="0"/>
</table>
</file>

<file path=xl/tables/table2.xml><?xml version="1.0" encoding="utf-8"?>
<table xmlns="http://schemas.openxmlformats.org/spreadsheetml/2006/main" id="2" name="Tabela7" displayName="Tabela7" ref="D2:D12" headerRowCount="1" totalsRowShown="0" headerRowDxfId="9" headerRowBorderDxfId="8" tableBorderDxfId="7" totalsRowBorderDxfId="6">
  <autoFilter ref="D2:D12"/>
  <tableColumns count="1">
    <tableColumn id="1" name="Etapa Jira" dataDxfId="5"/>
  </tableColumns>
  <tableStyleInfo name="TableStyleMedium3" showFirstColumn="0" showLastColumn="0" showRowStripes="1" showColumnStripes="0"/>
</table>
</file>

<file path=xl/tables/table3.xml><?xml version="1.0" encoding="utf-8"?>
<table xmlns="http://schemas.openxmlformats.org/spreadsheetml/2006/main" id="3" name="Tabela9" displayName="Tabela9" ref="F2:H10" headerRowCount="1" totalsRowShown="0">
  <autoFilter ref="F2:H10"/>
  <sortState ref="F3:H10">
    <sortCondition ref="F2:F10"/>
  </sortState>
  <tableColumns count="3">
    <tableColumn id="1" name="Pessoas"/>
    <tableColumn id="3" name="Role"/>
    <tableColumn id="2" name="UUID Jira"/>
  </tableColumns>
  <tableStyleInfo name="TableStyleMedium6" showFirstColumn="0" showLastColumn="0" showRowStripes="1" showColumnStripes="0"/>
</table>
</file>

<file path=xl/tables/table4.xml><?xml version="1.0" encoding="utf-8"?>
<table xmlns="http://schemas.openxmlformats.org/spreadsheetml/2006/main" id="4" name="Tabela5" displayName="Tabela5" ref="J2:K5" headerRowCount="1" totalsRowShown="0">
  <autoFilter ref="J2:K5"/>
  <tableColumns count="2">
    <tableColumn id="1" name="Tipos"/>
    <tableColumn id="2" name="Descrição"/>
  </tableColumns>
  <tableStyleInfo name="TableStyleMedium7" showFirstColumn="0" showLastColumn="0" showRowStripes="1" showColumnStripes="0"/>
</table>
</file>

<file path=xl/tables/table5.xml><?xml version="1.0" encoding="utf-8"?>
<table xmlns="http://schemas.openxmlformats.org/spreadsheetml/2006/main" id="5" name="Tabela4" displayName="Tabela4" ref="M2:N9" headerRowCount="1" totalsRowShown="0" headerRowDxfId="4" dataDxfId="3">
  <autoFilter ref="M2:N9"/>
  <tableColumns count="2">
    <tableColumn id="1" name="Horas" dataDxfId="2"/>
    <tableColumn id="2" name="Pontos" dataDxfId="1"/>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ensemble@thyssenkruppelevadores.com.br" TargetMode="External" Id="rId1" /><Relationship Type="http://schemas.openxmlformats.org/officeDocument/2006/relationships/hyperlink" Target="mailto:ensemble@thyssenkruppelevadores.com.br" TargetMode="External" Id="rId2" /><Relationship Type="http://schemas.openxmlformats.org/officeDocument/2006/relationships/hyperlink" Target="mailto:ensemble@thyssenkruppelevadores.com.br" TargetMode="External" Id="rId3" /><Relationship Type="http://schemas.openxmlformats.org/officeDocument/2006/relationships/hyperlink" Target="mailto:ensemble@thyssenkruppelevadores.com.br" TargetMode="External" Id="rId4" /><Relationship Type="http://schemas.openxmlformats.org/officeDocument/2006/relationships/hyperlink" Target="mailto:ensemble@thyssenkruppelevadores.com.br" TargetMode="External" Id="rId5" /><Relationship Type="http://schemas.openxmlformats.org/officeDocument/2006/relationships/hyperlink" Target="mailto:ensemble@thyssenkruppelevadores.com.br" TargetMode="External" Id="rId6" /><Relationship Type="http://schemas.openxmlformats.org/officeDocument/2006/relationships/hyperlink" Target="mailto:ensemble@thyssenkruppelevadores.com.br" TargetMode="External" Id="rId7" /><Relationship Type="http://schemas.openxmlformats.org/officeDocument/2006/relationships/hyperlink" Target="mailto:ensemble@thyssenkruppelevadores.com.br" TargetMode="External" Id="rId8" /><Relationship Type="http://schemas.openxmlformats.org/officeDocument/2006/relationships/hyperlink" Target="mailto:ensemble@thyssenkruppelevadores.com.br" TargetMode="External" Id="rId9" /><Relationship Type="http://schemas.openxmlformats.org/officeDocument/2006/relationships/hyperlink" Target="https://tke.service-now.com/sc_task.do?sys_id=8b622018fb99cb1079faf027aeefdc36&amp;sysparm_record_target=sc_task&amp;sysparm_record_row=1&amp;sysparm_record_rows=1&amp;sysparm_record_list=request_item%3D7262ecd4fb99cb1079faf027aeefdc69%5EORDERBYDESCopened_at" TargetMode="External" Id="rId10" /><Relationship Type="http://schemas.openxmlformats.org/officeDocument/2006/relationships/hyperlink" Target="mailto:ensemble@thyssenkruppelevadores.com.br" TargetMode="External" Id="rId11" /><Relationship Type="http://schemas.openxmlformats.org/officeDocument/2006/relationships/hyperlink" Target="https://tke.service-now.com/sc_task.do?sys_id=f220eaf33b9e76d05d7541dc73e45a57&amp;sysparm_record_target=sc_task&amp;sysparm_record_row=1&amp;sysparm_record_rows=3&amp;sysparm_record_list=request_item%3D65cb6a1b2b51b6101fb4f8614391bf9d%5EORDERBYDESCopened_at" TargetMode="External" Id="rId12" /><Relationship Type="http://schemas.openxmlformats.org/officeDocument/2006/relationships/hyperlink" Target="mailto:ensemble@thyssenkruppelevadores.com.br" TargetMode="External" Id="rId13" /><Relationship Type="http://schemas.openxmlformats.org/officeDocument/2006/relationships/hyperlink" Target="mailto:ensemble@thyssenkruppelevadores.com.br" TargetMode="External" Id="rId14" /><Relationship Type="http://schemas.openxmlformats.org/officeDocument/2006/relationships/hyperlink" Target="mailto:ensemble@thyssenkruppelevadores.com.br" TargetMode="External" Id="rId15" /><Relationship Type="http://schemas.openxmlformats.org/officeDocument/2006/relationships/hyperlink" Target="https://tke.service-now.com/sc_task.do?sys_id=ca60916dfb5d07906f08fcbaaeefdc5a&amp;sysparm_record_target=sc_task&amp;sysparm_record_row=2&amp;sysparm_record_rows=4&amp;sysparm_record_list=request_item%3D98112d0c2be0871c715bf1c3d891bf67%5EORDERBYDESCopened_at" TargetMode="External" Id="rId16" /><Relationship Type="http://schemas.openxmlformats.org/officeDocument/2006/relationships/hyperlink" Target="mailto:ensemble@thyssenkruppelevadores.com.br" TargetMode="External" Id="rId17" /><Relationship Type="http://schemas.openxmlformats.org/officeDocument/2006/relationships/hyperlink" Target="mailto:ensemble@thyssenkruppelevadores.com.br" TargetMode="External" Id="rId18" /><Relationship Type="http://schemas.openxmlformats.org/officeDocument/2006/relationships/hyperlink" Target="mailto:ensemble@thyssenkruppelevadores.com.br" TargetMode="External" Id="rId19" /><Relationship Type="http://schemas.openxmlformats.org/officeDocument/2006/relationships/hyperlink" Target="mailto:ensemble@thyssenkruppelevadores.com.br" TargetMode="External" Id="rId20" /><Relationship Type="http://schemas.openxmlformats.org/officeDocument/2006/relationships/hyperlink" Target="mailto:ensemble@thyssenkruppelevadores.com.br" TargetMode="External" Id="rId21" /><Relationship Type="http://schemas.openxmlformats.org/officeDocument/2006/relationships/hyperlink" Target="mailto:ensemble@thyssenkruppelevadores.com.br" TargetMode="External" Id="rId22" /><Relationship Type="http://schemas.openxmlformats.org/officeDocument/2006/relationships/hyperlink" Target="mailto:ensemble@thyssenkruppelevadores.com.br" TargetMode="External" Id="rId23" /><Relationship Type="http://schemas.openxmlformats.org/officeDocument/2006/relationships/hyperlink" Target="mailto:ensemble@thyssenkruppelevadores.com.br" TargetMode="External" Id="rId24" /><Relationship Type="http://schemas.openxmlformats.org/officeDocument/2006/relationships/hyperlink" Target="mailto:ensemble@thyssenkruppelevadores.com.br" TargetMode="External" Id="rId25" /><Relationship Type="http://schemas.openxmlformats.org/officeDocument/2006/relationships/hyperlink" Target="mailto:ensemble@thyssenkruppelevadores.com.br" TargetMode="External" Id="rId26" /><Relationship Type="http://schemas.openxmlformats.org/officeDocument/2006/relationships/hyperlink" Target="mailto:ensemble@thyssenkruppelevadores.com.br" TargetMode="External" Id="rId27" /><Relationship Type="http://schemas.openxmlformats.org/officeDocument/2006/relationships/hyperlink" Target="mailto:ensemble@thyssenkruppelevadores.com.br" TargetMode="External" Id="rId28" /><Relationship Type="http://schemas.openxmlformats.org/officeDocument/2006/relationships/hyperlink" Target="mailto:ensemble@thyssenkruppelevadores.com.br" TargetMode="External" Id="rId29" /><Relationship Type="http://schemas.openxmlformats.org/officeDocument/2006/relationships/hyperlink" Target="mailto:ensemble@thyssenkruppelevadores.com.br" TargetMode="External" Id="rId30" /><Relationship Type="http://schemas.openxmlformats.org/officeDocument/2006/relationships/hyperlink" Target="mailto:ensemble@thyssenkruppelevadores.com.br" TargetMode="External" Id="rId31" /><Relationship Type="http://schemas.openxmlformats.org/officeDocument/2006/relationships/hyperlink" Target="mailto:ensemble@thyssenkruppelevadores.com.br" TargetMode="External" Id="rId32" /><Relationship Type="http://schemas.openxmlformats.org/officeDocument/2006/relationships/hyperlink" Target="mailto:ensemble@thyssenkruppelevadores.com.br" TargetMode="External" Id="rId33" /><Relationship Type="http://schemas.openxmlformats.org/officeDocument/2006/relationships/hyperlink" Target="mailto:ensemble@thyssenkruppelevadores.com.br" TargetMode="External" Id="rId34" /><Relationship Type="http://schemas.openxmlformats.org/officeDocument/2006/relationships/hyperlink" Target="mailto:ensemble@thyssenkruppelevadores.com.br" TargetMode="External" Id="rId35" /><Relationship Type="http://schemas.openxmlformats.org/officeDocument/2006/relationships/hyperlink" Target="mailto:ensemble@thyssenkruppelevadores.com.br" TargetMode="External" Id="rId36" /><Relationship Type="http://schemas.openxmlformats.org/officeDocument/2006/relationships/hyperlink" Target="mailto:ensemble@thyssenkruppelevadores.com.br" TargetMode="External" Id="rId37" /><Relationship Type="http://schemas.openxmlformats.org/officeDocument/2006/relationships/hyperlink" Target="mailto:ensemble@thyssenkruppelevadores.com.br" TargetMode="External" Id="rId38" /><Relationship Type="http://schemas.openxmlformats.org/officeDocument/2006/relationships/hyperlink" Target="mailto:ensemble@thyssenkruppelevadores.com.br" TargetMode="External" Id="rId39" /><Relationship Type="http://schemas.openxmlformats.org/officeDocument/2006/relationships/hyperlink" Target="mailto:ensemble@thyssenkruppelevadores.com.br" TargetMode="External" Id="rId40" /><Relationship Type="http://schemas.openxmlformats.org/officeDocument/2006/relationships/hyperlink" Target="mailto:ensemble@thyssenkruppelevadores.com.br" TargetMode="External" Id="rId41" /><Relationship Type="http://schemas.openxmlformats.org/officeDocument/2006/relationships/hyperlink" Target="mailto:ensemble@thyssenkruppelevadores.com.br" TargetMode="External" Id="rId42" /><Relationship Type="http://schemas.openxmlformats.org/officeDocument/2006/relationships/hyperlink" Target="mailto:ensemble@thyssenkruppelevadores.com.br" TargetMode="External" Id="rId43" /><Relationship Type="http://schemas.openxmlformats.org/officeDocument/2006/relationships/hyperlink" Target="mailto:ensemble@thyssenkruppelevadores.com.br" TargetMode="External" Id="rId44" /><Relationship Type="http://schemas.openxmlformats.org/officeDocument/2006/relationships/hyperlink" Target="mailto:ensemble@thyssenkruppelevadores.com.br" TargetMode="External" Id="rId45" /><Relationship Type="http://schemas.openxmlformats.org/officeDocument/2006/relationships/hyperlink" Target="mailto:ensemble@thyssenkruppelevadores.com.br" TargetMode="External" Id="rId46" /><Relationship Type="http://schemas.openxmlformats.org/officeDocument/2006/relationships/hyperlink" Target="mailto:ensemble@thyssenkruppelevadores.com.br" TargetMode="External" Id="rId47" /><Relationship Type="http://schemas.openxmlformats.org/officeDocument/2006/relationships/hyperlink" Target="mailto:ensemble@thyssenkruppelevadores.com.br" TargetMode="External" Id="rId48" /><Relationship Type="http://schemas.openxmlformats.org/officeDocument/2006/relationships/hyperlink" Target="mailto:ensemble@thyssenkruppelevadores.com.br" TargetMode="External" Id="rId49" /><Relationship Type="http://schemas.openxmlformats.org/officeDocument/2006/relationships/hyperlink" Target="mailto:ensemble@thyssenkruppelevadores.com.br" TargetMode="External" Id="rId50" /><Relationship Type="http://schemas.openxmlformats.org/officeDocument/2006/relationships/hyperlink" Target="mailto:ensemble@thyssenkruppelevadores.com.br" TargetMode="External" Id="rId51" /><Relationship Type="http://schemas.openxmlformats.org/officeDocument/2006/relationships/hyperlink" Target="mailto:ensemble@thyssenkruppelevadores.com.br" TargetMode="External" Id="rId52" /><Relationship Type="http://schemas.openxmlformats.org/officeDocument/2006/relationships/hyperlink" Target="mailto:ensemble@thyssenkruppelevadores.com.br" TargetMode="External" Id="rId53" /><Relationship Type="http://schemas.openxmlformats.org/officeDocument/2006/relationships/hyperlink" Target="mailto:ensemble@thyssenkruppelevadores.com.br" TargetMode="External" Id="rId54" /><Relationship Type="http://schemas.openxmlformats.org/officeDocument/2006/relationships/hyperlink" Target="mailto:ensemble@thyssenkruppelevadores.com.br" TargetMode="External" Id="rId55" /></Relationships>
</file>

<file path=xl/worksheets/_rels/sheet4.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sheet1.xml><?xml version="1.0" encoding="utf-8"?>
<worksheet xmlns="http://schemas.openxmlformats.org/spreadsheetml/2006/main">
  <sheetPr>
    <outlinePr summaryBelow="1" summaryRight="1"/>
    <pageSetUpPr/>
  </sheetPr>
  <dimension ref="A1:AM53"/>
  <sheetViews>
    <sheetView showGridLines="0" tabSelected="1" workbookViewId="0">
      <pane ySplit="1" topLeftCell="A2" activePane="bottomLeft" state="frozen"/>
      <selection pane="bottomLeft" activeCell="D1" sqref="D1"/>
    </sheetView>
  </sheetViews>
  <sheetFormatPr baseColWidth="8" defaultColWidth="9.109375" defaultRowHeight="15" customHeight="1"/>
  <cols>
    <col width="9.88671875" bestFit="1" customWidth="1" min="1" max="1"/>
    <col width="11.109375" bestFit="1" customWidth="1" style="5" min="2" max="2"/>
    <col width="15" bestFit="1" customWidth="1" min="3" max="3"/>
    <col width="15.6640625" bestFit="1" customWidth="1" min="4" max="4"/>
    <col hidden="1" width="14.33203125" customWidth="1" min="5" max="6"/>
    <col hidden="1" width="10.88671875" customWidth="1" min="7" max="7"/>
    <col hidden="1" width="25" customWidth="1" min="8" max="8"/>
    <col hidden="1" width="39.44140625" customWidth="1" min="9" max="9"/>
    <col hidden="1" width="22.44140625" customWidth="1" min="10" max="10"/>
    <col hidden="1" width="42.88671875" customWidth="1" min="11" max="11"/>
    <col width="24.6640625" customWidth="1" min="12" max="12"/>
    <col width="45.33203125" customWidth="1" min="13" max="13"/>
    <col width="39.6640625" customWidth="1" min="14" max="14"/>
    <col width="32.6640625" customWidth="1" min="15" max="16"/>
    <col width="17.6640625" bestFit="1" customWidth="1" min="17" max="17"/>
    <col width="29.88671875" customWidth="1" min="18" max="18"/>
    <col width="13.6640625" customWidth="1" style="7" min="19" max="19"/>
    <col width="13.6640625" customWidth="1" style="6" min="20" max="20"/>
    <col width="13.6640625" customWidth="1" min="21" max="23"/>
    <col width="1.6640625" customWidth="1" min="24" max="24"/>
    <col width="13.6640625" customWidth="1" style="9" min="25" max="26"/>
    <col width="10.88671875" bestFit="1" customWidth="1" style="9" min="27" max="27"/>
    <col width="1.6640625" customWidth="1" min="28" max="28"/>
    <col width="12" customWidth="1" style="9" min="29" max="29"/>
    <col width="4.88671875" bestFit="1" customWidth="1" style="9" min="30" max="30"/>
    <col hidden="1" width="10" customWidth="1" min="31" max="32"/>
    <col hidden="1" width="6.33203125" customWidth="1" min="33" max="33"/>
    <col hidden="1" width="10" customWidth="1" min="34" max="35"/>
    <col hidden="1" width="6.33203125" customWidth="1" min="36" max="36"/>
    <col hidden="1" width="10" customWidth="1" min="37" max="38"/>
    <col hidden="1" width="10.88671875" customWidth="1" min="39" max="39"/>
  </cols>
  <sheetData>
    <row r="1" ht="15" customFormat="1" customHeight="1" s="4">
      <c r="A1" s="58" t="inlineStr">
        <is>
          <t>Projeto</t>
        </is>
      </c>
      <c r="B1" s="59" t="inlineStr">
        <is>
          <t>Data</t>
        </is>
      </c>
      <c r="C1" s="58" t="inlineStr">
        <is>
          <t>Request</t>
        </is>
      </c>
      <c r="D1" s="58" t="inlineStr">
        <is>
          <t>Task</t>
        </is>
      </c>
      <c r="E1" s="15" t="inlineStr">
        <is>
          <t>Prioridade</t>
        </is>
      </c>
      <c r="F1" s="60" t="inlineStr">
        <is>
          <t>Retorno</t>
        </is>
      </c>
      <c r="G1" s="58" t="inlineStr">
        <is>
          <t>Módulo</t>
        </is>
      </c>
      <c r="H1" s="58" t="inlineStr">
        <is>
          <t>Tipo</t>
        </is>
      </c>
      <c r="I1" s="58" t="inlineStr">
        <is>
          <t>Usuário Projeto</t>
        </is>
      </c>
      <c r="J1" s="58" t="inlineStr">
        <is>
          <t>PO</t>
        </is>
      </c>
      <c r="K1" s="58" t="inlineStr">
        <is>
          <t>UUID PO</t>
        </is>
      </c>
      <c r="L1" s="61" t="inlineStr">
        <is>
          <t>Recurso</t>
        </is>
      </c>
      <c r="M1" s="61" t="inlineStr">
        <is>
          <t>UUID Recurso</t>
        </is>
      </c>
      <c r="N1" s="58" t="inlineStr">
        <is>
          <t>Épico</t>
        </is>
      </c>
      <c r="O1" s="61" t="inlineStr">
        <is>
          <t>Estória</t>
        </is>
      </c>
      <c r="P1" s="58" t="inlineStr">
        <is>
          <t>Tarefa</t>
        </is>
      </c>
      <c r="Q1" s="58" t="inlineStr">
        <is>
          <t>Etapa</t>
        </is>
      </c>
      <c r="R1" s="15" t="inlineStr">
        <is>
          <t>US</t>
        </is>
      </c>
      <c r="S1" s="15" t="inlineStr">
        <is>
          <t>Horas</t>
        </is>
      </c>
      <c r="T1" s="15" t="inlineStr">
        <is>
          <t>Pontos</t>
        </is>
      </c>
      <c r="U1" s="15" t="inlineStr">
        <is>
          <t>TicketE</t>
        </is>
      </c>
      <c r="V1" s="15" t="inlineStr">
        <is>
          <t>TicketS</t>
        </is>
      </c>
      <c r="W1" s="15" t="inlineStr">
        <is>
          <t>TicketT</t>
        </is>
      </c>
      <c r="X1" s="79" t="inlineStr">
        <is>
          <t>Jira</t>
        </is>
      </c>
      <c r="Y1" s="80" t="n"/>
      <c r="Z1" s="80" t="n"/>
      <c r="AA1" s="80" t="n"/>
      <c r="AB1" s="81" t="n"/>
      <c r="AC1" s="16" t="inlineStr">
        <is>
          <t>Alocadas</t>
        </is>
      </c>
      <c r="AD1" s="16" t="inlineStr">
        <is>
          <t>Tipo</t>
        </is>
      </c>
      <c r="AE1" s="12">
        <f>Parâmetros!$J3</f>
        <v/>
      </c>
      <c r="AF1" s="12">
        <f>Parâmetros!$J4</f>
        <v/>
      </c>
      <c r="AG1" s="12">
        <f>Parâmetros!$J5</f>
        <v/>
      </c>
      <c r="AH1" s="12">
        <f>Parâmetros!$J3</f>
        <v/>
      </c>
      <c r="AI1" s="12">
        <f>Parâmetros!$J4</f>
        <v/>
      </c>
      <c r="AJ1" s="12">
        <f>Parâmetros!$J5</f>
        <v/>
      </c>
      <c r="AK1" s="12">
        <f>Parâmetros!$J3</f>
        <v/>
      </c>
      <c r="AL1" s="12">
        <f>Parâmetros!$J4</f>
        <v/>
      </c>
      <c r="AM1" s="12">
        <f>Parâmetros!$J5</f>
        <v/>
      </c>
    </row>
    <row r="2" ht="15" customFormat="1" customHeight="1" s="4">
      <c r="A2" s="17">
        <f>UPPER(LEFT(I2, 3))</f>
        <v/>
      </c>
      <c r="B2" s="18" t="inlineStr">
        <is>
          <t>2026-08-24</t>
        </is>
      </c>
      <c r="C2" s="19" t="n">
        <v>0</v>
      </c>
      <c r="D2" s="19" t="n">
        <v>0</v>
      </c>
      <c r="E2" s="20" t="n"/>
      <c r="F2" s="21" t="n">
        <v>0</v>
      </c>
      <c r="G2" s="19" t="inlineStr">
        <is>
          <t>INTERFACE</t>
        </is>
      </c>
      <c r="H2" s="19" t="inlineStr">
        <is>
          <t>ALTERAÇÃO</t>
        </is>
      </c>
      <c r="I2" s="22" t="inlineStr">
        <is>
          <t>ensemble@thyssenkruppelevadores.com.br</t>
        </is>
      </c>
      <c r="J2" s="23" t="inlineStr">
        <is>
          <t>Giovani Perotto Mesquita</t>
        </is>
      </c>
      <c r="K2" s="19">
        <f>_xlfn.XLOOKUP(Planilha!$J2,Tabela9[Pessoas],Tabela9[UUID Jira])</f>
        <v/>
      </c>
      <c r="L2" s="24" t="inlineStr">
        <is>
          <t>Alexandre Trindade Pereira</t>
        </is>
      </c>
      <c r="M2" s="19">
        <f>_xlfn.XLOOKUP(Planilha!$L2,Tabela9[Pessoas],Tabela9[UUID Jira])</f>
        <v/>
      </c>
      <c r="N2" s="19" t="inlineStr">
        <is>
          <t>Confeccionar logs para auditoria</t>
        </is>
      </c>
      <c r="O2" s="19" t="inlineStr">
        <is>
          <t>Confeccionar logs para auditoria</t>
        </is>
      </c>
      <c r="P2" s="19" t="inlineStr">
        <is>
          <t>Confeccionar logs para auditoria</t>
        </is>
      </c>
      <c r="Q2" s="19" t="inlineStr">
        <is>
          <t>Implementação</t>
        </is>
      </c>
      <c r="R2" s="19" t="inlineStr">
        <is>
          <t>Confeccionar logs para auditoria</t>
        </is>
      </c>
      <c r="S2" s="25" t="n">
        <v>10</v>
      </c>
      <c r="T2" s="26">
        <f>_xlfn.XLOOKUP(S2,Tabela4[Horas],Tabela4[Pontos],,1)</f>
        <v/>
      </c>
      <c r="U2" s="19" t="inlineStr">
        <is>
          <t>ENS-10640</t>
        </is>
      </c>
      <c r="V2" s="19" t="inlineStr">
        <is>
          <t>ENS-10840</t>
        </is>
      </c>
      <c r="W2" s="19" t="inlineStr">
        <is>
          <t>ENS-10841</t>
        </is>
      </c>
      <c r="X2" s="62" t="n"/>
      <c r="Y2" s="63">
        <f>HYPERLINK("https://tkebrasil.atlassian.net/browse/" &amp; U2,U2)</f>
        <v/>
      </c>
      <c r="Z2" s="63">
        <f>HYPERLINK("https://tkebrasil.atlassian.net/browse/" &amp; V2,V2)</f>
        <v/>
      </c>
      <c r="AA2" s="63">
        <f>HYPERLINK("https://tkebrasil.atlassian.net/browse/" &amp; W2,W2)</f>
        <v/>
      </c>
      <c r="AB2" s="62" t="n"/>
      <c r="AC2" s="27" t="inlineStr">
        <is>
          <t>X</t>
        </is>
      </c>
      <c r="AD2" s="27" t="inlineStr">
        <is>
          <t>CR</t>
        </is>
      </c>
      <c r="AE2" s="4">
        <f>IF($AD2=AE$1,$U2)</f>
        <v/>
      </c>
      <c r="AF2" s="4">
        <f>IF($AD2=AF$1,$U2)</f>
        <v/>
      </c>
      <c r="AG2" s="4">
        <f>IF($AD2=AG$1,$U2)</f>
        <v/>
      </c>
      <c r="AH2" s="4">
        <f>IF($AD2=AH$1,$V2)</f>
        <v/>
      </c>
      <c r="AI2" s="4">
        <f>IF($AD2=AI$1,$V2)</f>
        <v/>
      </c>
      <c r="AJ2" s="4">
        <f>IF($AD2=AJ$1,$V2)</f>
        <v/>
      </c>
      <c r="AK2" s="4">
        <f>IF($AD2=AK$1,$W2)</f>
        <v/>
      </c>
      <c r="AL2" s="4">
        <f>IF($AD2=AL$1,$W2)</f>
        <v/>
      </c>
      <c r="AM2" s="4">
        <f>IF($AD2=AM$1,$W2)</f>
        <v/>
      </c>
    </row>
    <row r="3" ht="15" customFormat="1" customHeight="1" s="4">
      <c r="A3" s="17">
        <f>UPPER(LEFT(I3, 3))</f>
        <v/>
      </c>
      <c r="B3" s="18" t="inlineStr">
        <is>
          <t>2026-08-24</t>
        </is>
      </c>
      <c r="C3" s="19" t="inlineStr">
        <is>
          <t>REQ0339905</t>
        </is>
      </c>
      <c r="D3" s="19" t="inlineStr">
        <is>
          <t>SCTASK0581534</t>
        </is>
      </c>
      <c r="E3" s="20" t="n"/>
      <c r="F3" s="21" t="n">
        <v>0</v>
      </c>
      <c r="G3" s="19" t="inlineStr">
        <is>
          <t>INTERFACE</t>
        </is>
      </c>
      <c r="H3" s="19" t="inlineStr">
        <is>
          <t>NOVO DESENVOLVIMENTO</t>
        </is>
      </c>
      <c r="I3" s="22" t="inlineStr">
        <is>
          <t>ensemble@thyssenkruppelevadores.com.br</t>
        </is>
      </c>
      <c r="J3" s="23" t="inlineStr">
        <is>
          <t>Giovani Perotto Mesquita</t>
        </is>
      </c>
      <c r="K3" s="19">
        <f>_xlfn.XLOOKUP(Planilha!$J3,Tabela9[Pessoas],Tabela9[UUID Jira])</f>
        <v/>
      </c>
      <c r="L3" s="24" t="inlineStr">
        <is>
          <t>Tanise Sarmento</t>
        </is>
      </c>
      <c r="M3" s="19">
        <f>_xlfn.XLOOKUP(Planilha!$L3,Tabela9[Pessoas],Tabela9[UUID Jira])</f>
        <v/>
      </c>
      <c r="N3" s="19" t="inlineStr">
        <is>
          <t>PO - Menus Intec</t>
        </is>
      </c>
      <c r="O3" s="19" t="inlineStr">
        <is>
          <t>PO &amp; GP - Menus Intec</t>
        </is>
      </c>
      <c r="P3" s="19" t="inlineStr">
        <is>
          <t>PO &amp; GP - Menus Intec</t>
        </is>
      </c>
      <c r="Q3" s="19" t="inlineStr">
        <is>
          <t>Implementação</t>
        </is>
      </c>
      <c r="R3" s="19" t="inlineStr">
        <is>
          <t>PO &amp; GP - Menus Intec</t>
        </is>
      </c>
      <c r="S3" s="25" t="n">
        <v>7</v>
      </c>
      <c r="T3" s="26">
        <f>_xlfn.XLOOKUP(S3,Tabela4[Horas],Tabela4[Pontos],,1)</f>
        <v/>
      </c>
      <c r="U3" s="19" t="inlineStr">
        <is>
          <t>ENS-10725</t>
        </is>
      </c>
      <c r="V3" s="19" t="inlineStr">
        <is>
          <t>ENS-10842</t>
        </is>
      </c>
      <c r="W3" s="19" t="inlineStr">
        <is>
          <t>ENS-10843</t>
        </is>
      </c>
      <c r="X3" s="62" t="n"/>
      <c r="Y3" s="63">
        <f>HYPERLINK("https://tkebrasil.atlassian.net/browse/" &amp; U3,U3)</f>
        <v/>
      </c>
      <c r="Z3" s="63">
        <f>HYPERLINK("https://tkebrasil.atlassian.net/browse/" &amp; V3,V3)</f>
        <v/>
      </c>
      <c r="AA3" s="63">
        <f>HYPERLINK("https://tkebrasil.atlassian.net/browse/" &amp; W3,W3)</f>
        <v/>
      </c>
      <c r="AB3" s="62" t="n"/>
      <c r="AC3" s="27" t="inlineStr">
        <is>
          <t>X</t>
        </is>
      </c>
      <c r="AD3" s="27" t="inlineStr">
        <is>
          <t>MP</t>
        </is>
      </c>
      <c r="AE3" s="4">
        <f>IF($AD3=AE$1,$U3)</f>
        <v/>
      </c>
      <c r="AF3" s="4">
        <f>IF($AD3=AF$1,$U3)</f>
        <v/>
      </c>
      <c r="AG3" s="4">
        <f>IF($AD3=AG$1,$U3)</f>
        <v/>
      </c>
      <c r="AH3" s="4">
        <f>IF($AD3=AH$1,$V3)</f>
        <v/>
      </c>
      <c r="AI3" s="4">
        <f>IF($AD3=AI$1,$V3)</f>
        <v/>
      </c>
      <c r="AJ3" s="4">
        <f>IF($AD3=AJ$1,$V3)</f>
        <v/>
      </c>
      <c r="AK3" s="4">
        <f>IF($AD3=AK$1,$W3)</f>
        <v/>
      </c>
      <c r="AL3" s="4">
        <f>IF($AD3=AL$1,$W3)</f>
        <v/>
      </c>
      <c r="AM3" s="4">
        <f>IF($AD3=AM$1,$W3)</f>
        <v/>
      </c>
    </row>
    <row r="4" ht="15" customFormat="1" customHeight="1" s="4">
      <c r="A4" s="17">
        <f>UPPER(LEFT(I4, 3))</f>
        <v/>
      </c>
      <c r="B4" s="18" t="inlineStr">
        <is>
          <t>2026-08-24</t>
        </is>
      </c>
      <c r="C4" s="19" t="inlineStr">
        <is>
          <t>TKE China</t>
        </is>
      </c>
      <c r="D4" s="19" t="inlineStr">
        <is>
          <t>TKE China</t>
        </is>
      </c>
      <c r="E4" s="20" t="n"/>
      <c r="F4" s="21" t="n">
        <v>0</v>
      </c>
      <c r="G4" s="19" t="inlineStr">
        <is>
          <t>INTERFACE</t>
        </is>
      </c>
      <c r="H4" s="19" t="inlineStr">
        <is>
          <t>NOVO DESENVOLVIMENTO</t>
        </is>
      </c>
      <c r="I4" s="22" t="inlineStr">
        <is>
          <t>ensemble@thyssenkruppelevadores.com.br</t>
        </is>
      </c>
      <c r="J4" s="23" t="inlineStr">
        <is>
          <t>Giovani Perotto Mesquita</t>
        </is>
      </c>
      <c r="K4" s="19">
        <f>_xlfn.XLOOKUP(Planilha!$J4,Tabela9[Pessoas],Tabela9[UUID Jira])</f>
        <v/>
      </c>
      <c r="L4" s="24" t="inlineStr">
        <is>
          <t>Tanise Sarmento</t>
        </is>
      </c>
      <c r="M4" s="19">
        <f>_xlfn.XLOOKUP(Planilha!$L4,Tabela9[Pessoas],Tabela9[UUID Jira])</f>
        <v/>
      </c>
      <c r="N4" s="19" t="inlineStr">
        <is>
          <t>PO - TKE China</t>
        </is>
      </c>
      <c r="O4" s="19" t="inlineStr">
        <is>
          <t>PO - TKE China</t>
        </is>
      </c>
      <c r="P4" s="19" t="inlineStr">
        <is>
          <t>PO - TKE China</t>
        </is>
      </c>
      <c r="Q4" s="19" t="inlineStr">
        <is>
          <t>Implementação</t>
        </is>
      </c>
      <c r="R4" s="19" t="inlineStr">
        <is>
          <t>TKE China</t>
        </is>
      </c>
      <c r="S4" s="25" t="n">
        <v>3</v>
      </c>
      <c r="T4" s="26">
        <f>_xlfn.XLOOKUP(S4,Tabela4[Horas],Tabela4[Pontos],,1)</f>
        <v/>
      </c>
      <c r="U4" s="19" t="inlineStr">
        <is>
          <t>ENS-10844</t>
        </is>
      </c>
      <c r="V4" s="19" t="inlineStr">
        <is>
          <t>ENS-10845</t>
        </is>
      </c>
      <c r="W4" s="19" t="inlineStr">
        <is>
          <t>ENS-10846</t>
        </is>
      </c>
      <c r="X4" s="62" t="n"/>
      <c r="Y4" s="63">
        <f>HYPERLINK("https://tkebrasil.atlassian.net/browse/" &amp; U4,U4)</f>
        <v/>
      </c>
      <c r="Z4" s="63">
        <f>HYPERLINK("https://tkebrasil.atlassian.net/browse/" &amp; V4,V4)</f>
        <v/>
      </c>
      <c r="AA4" s="63">
        <f>HYPERLINK("https://tkebrasil.atlassian.net/browse/" &amp; W4,W4)</f>
        <v/>
      </c>
      <c r="AB4" s="62" t="n"/>
      <c r="AC4" s="27" t="inlineStr">
        <is>
          <t>X</t>
        </is>
      </c>
      <c r="AD4" s="27" t="inlineStr">
        <is>
          <t>CR</t>
        </is>
      </c>
      <c r="AE4" s="4">
        <f>IF($AD4=AE$1,$U4)</f>
        <v/>
      </c>
      <c r="AF4" s="4">
        <f>IF($AD4=AF$1,$U4)</f>
        <v/>
      </c>
      <c r="AG4" s="4">
        <f>IF($AD4=AG$1,$U4)</f>
        <v/>
      </c>
      <c r="AH4" s="4">
        <f>IF($AD4=AH$1,$V4)</f>
        <v/>
      </c>
      <c r="AI4" s="4">
        <f>IF($AD4=AI$1,$V4)</f>
        <v/>
      </c>
      <c r="AJ4" s="4">
        <f>IF($AD4=AJ$1,$V4)</f>
        <v/>
      </c>
      <c r="AK4" s="4">
        <f>IF($AD4=AK$1,$W4)</f>
        <v/>
      </c>
      <c r="AL4" s="4">
        <f>IF($AD4=AL$1,$W4)</f>
        <v/>
      </c>
      <c r="AM4" s="4">
        <f>IF($AD4=AM$1,$W4)</f>
        <v/>
      </c>
    </row>
    <row r="5" ht="15" customFormat="1" customHeight="1" s="4">
      <c r="A5" s="28">
        <f>UPPER(LEFT(I5, 3))</f>
        <v/>
      </c>
      <c r="B5" s="29" t="inlineStr">
        <is>
          <t>2026-08-24</t>
        </is>
      </c>
      <c r="C5" s="11" t="n">
        <v>0</v>
      </c>
      <c r="D5" s="11" t="n">
        <v>0</v>
      </c>
      <c r="E5" s="30" t="n"/>
      <c r="F5" s="31" t="n">
        <v>0</v>
      </c>
      <c r="G5" s="11" t="inlineStr">
        <is>
          <t>INTERFACE</t>
        </is>
      </c>
      <c r="H5" s="11" t="inlineStr">
        <is>
          <t>ALTERAÇÃO</t>
        </is>
      </c>
      <c r="I5" s="32" t="inlineStr">
        <is>
          <t>ensemble@thyssenkruppelevadores.com.br</t>
        </is>
      </c>
      <c r="J5" s="33" t="inlineStr">
        <is>
          <t>Giovani Perotto Mesquita</t>
        </is>
      </c>
      <c r="K5" s="11">
        <f>_xlfn.XLOOKUP(Planilha!$J5,Tabela9[Pessoas],Tabela9[UUID Jira])</f>
        <v/>
      </c>
      <c r="L5" s="11" t="inlineStr">
        <is>
          <t>Luis Henrique Petkovicz</t>
        </is>
      </c>
      <c r="M5" s="11">
        <f>_xlfn.XLOOKUP(Planilha!$L5,Tabela9[Pessoas],Tabela9[UUID Jira])</f>
        <v/>
      </c>
      <c r="N5" s="11" t="inlineStr">
        <is>
          <t>Atividades Administrativas</t>
        </is>
      </c>
      <c r="O5" s="11" t="inlineStr">
        <is>
          <t>Atividades Administrativas</t>
        </is>
      </c>
      <c r="P5" s="11" t="inlineStr">
        <is>
          <t>Atividades Administrativas</t>
        </is>
      </c>
      <c r="Q5" s="11" t="inlineStr">
        <is>
          <t>Implementação</t>
        </is>
      </c>
      <c r="R5" s="11" t="inlineStr">
        <is>
          <t>Atividades Administrativas</t>
        </is>
      </c>
      <c r="S5" s="10" t="n">
        <v>10</v>
      </c>
      <c r="T5" s="11">
        <f>_xlfn.XLOOKUP(S5,Tabela4[Horas],Tabela4[Pontos],,1)</f>
        <v/>
      </c>
      <c r="U5" s="11" t="inlineStr">
        <is>
          <t>ENS-8159</t>
        </is>
      </c>
      <c r="V5" s="11" t="inlineStr">
        <is>
          <t>ENS-10847</t>
        </is>
      </c>
      <c r="W5" s="11" t="inlineStr">
        <is>
          <t>ENS-10848</t>
        </is>
      </c>
      <c r="X5" s="62" t="n"/>
      <c r="Y5" s="44">
        <f>HYPERLINK("https://tkebrasil.atlassian.net/browse/" &amp; U5,U5)</f>
        <v/>
      </c>
      <c r="Z5" s="44">
        <f>HYPERLINK("https://tkebrasil.atlassian.net/browse/" &amp; V5,V5)</f>
        <v/>
      </c>
      <c r="AA5" s="44">
        <f>HYPERLINK("https://tkebrasil.atlassian.net/browse/" &amp; W5,W5)</f>
        <v/>
      </c>
      <c r="AB5" s="62" t="n"/>
      <c r="AC5" s="35" t="inlineStr">
        <is>
          <t>X</t>
        </is>
      </c>
      <c r="AD5" s="35" t="inlineStr">
        <is>
          <t>BL</t>
        </is>
      </c>
      <c r="AE5" s="4">
        <f>IF($AD5=AE$1,$U5)</f>
        <v/>
      </c>
      <c r="AF5" s="4">
        <f>IF($AD5=AF$1,$U5)</f>
        <v/>
      </c>
      <c r="AG5" s="4">
        <f>IF($AD5=AG$1,$U5)</f>
        <v/>
      </c>
      <c r="AH5" s="4">
        <f>IF($AD5=AH$1,$V5)</f>
        <v/>
      </c>
      <c r="AI5" s="4">
        <f>IF($AD5=AI$1,$V5)</f>
        <v/>
      </c>
      <c r="AJ5" s="4">
        <f>IF($AD5=AJ$1,$V5)</f>
        <v/>
      </c>
      <c r="AK5" s="4">
        <f>IF($AD5=AK$1,$W5)</f>
        <v/>
      </c>
      <c r="AL5" s="4">
        <f>IF($AD5=AL$1,$W5)</f>
        <v/>
      </c>
      <c r="AM5" s="4">
        <f>IF($AD5=AM$1,$W5)</f>
        <v/>
      </c>
    </row>
    <row r="6" ht="15" customHeight="1">
      <c r="A6" s="28">
        <f>UPPER(LEFT(I6, 3))</f>
        <v/>
      </c>
      <c r="B6" s="29" t="inlineStr">
        <is>
          <t>2026-08-24</t>
        </is>
      </c>
      <c r="C6" s="28" t="inlineStr">
        <is>
          <t>REQ0377661</t>
        </is>
      </c>
      <c r="D6" s="11" t="inlineStr">
        <is>
          <t>SCTASK0579990</t>
        </is>
      </c>
      <c r="E6" s="36" t="n"/>
      <c r="F6" s="36" t="n">
        <v>0</v>
      </c>
      <c r="G6" s="11" t="inlineStr">
        <is>
          <t>INTERFACE</t>
        </is>
      </c>
      <c r="H6" s="33" t="inlineStr">
        <is>
          <t>NOVO DESENVOLVIMENTO</t>
        </is>
      </c>
      <c r="I6" s="32" t="inlineStr">
        <is>
          <t>ensemble@thyssenkruppelevadores.com.br</t>
        </is>
      </c>
      <c r="J6" s="33" t="inlineStr">
        <is>
          <t>Giovani Perotto Mesquita</t>
        </is>
      </c>
      <c r="K6" s="11">
        <f>_xlfn.XLOOKUP(Planilha!$J6,Tabela9[Pessoas],Tabela9[UUID Jira])</f>
        <v/>
      </c>
      <c r="L6" s="33" t="inlineStr">
        <is>
          <t>Pablo Rocha</t>
        </is>
      </c>
      <c r="M6" s="11">
        <f>_xlfn.XLOOKUP(Planilha!$L6,Tabela9[Pessoas],Tabela9[UUID Jira])</f>
        <v/>
      </c>
      <c r="N6" s="11" t="inlineStr">
        <is>
          <t xml:space="preserve"> Integração de Margens entre GUS e E‑Sales</t>
        </is>
      </c>
      <c r="O6" s="11" t="inlineStr">
        <is>
          <t xml:space="preserve"> Integração de Margens entre GUS e E‑Sales</t>
        </is>
      </c>
      <c r="P6" s="11" t="inlineStr">
        <is>
          <t xml:space="preserve"> Integração de Margens entre GUS e E‑Sales</t>
        </is>
      </c>
      <c r="Q6" s="33" t="inlineStr">
        <is>
          <t>Implementação</t>
        </is>
      </c>
      <c r="R6" s="39" t="inlineStr">
        <is>
          <t>🌐 ÉPICO – Integração de Margens entre GUS e E‑Sales
🏷 Título do Épico
Integração das Margens com e sem Desconto entre GUS e E‑Sales para Suporte ao Processo Comercial
🧾 Descrição Geral
Este épico tem como objetivo estabelecer uma nova  integração padronizada, confiável e automatizada entre os sistemas GUS e E‑Sales, permitindo o trânsito de informações de margem com desconto e margem sem desconto.
A iniciativa busca eliminar atividades manuais, reduzir inconsistências, aumentar a velocidade das operações comerciais e aprimorar a tomada de decisão baseada em dados.
PO
Bruno Fuentes (Zallpy)
Tiago Fogaça (PO)
Victor Augusto Santos Marinho (Zallpy)
🎯 Objetivo Estratégico
Garantir que o processo comercial opere com informações atualizadas, consistentes e rastreáveis.
Apoiar decisões de precificação e propostas comerciais com dados íntegros.
Reduzir riscos operacionais e retrabalho decorrentes de processos manuais.
Aumentar eficiência e performance dos times comercial e financeiro.
📌 Escopo do Épico
Inclui:
Construção de interfaces de envio das margens com e sem desconto do GUS para o E‑Sales.
Padronização de layouts, validações e regras de negócio.
Implementação de logs, rastreabilidade, controle de erros e tratamento de rejeições.
Testes funcionais, integrados, regressivos e de migração.
Não inclui:
Alterações no cálculo das margens.
Modificações em regras de negócio internas do GUS ou do E‑Sales.
Criação de dashboards ou relatórios derivados.
🗂 User Stories Associadas
US – Enviar Margem com Desconto do GUS para o E‑Sales
US – Enviar Margem sem Desconto do GUS para o E‑Sales
(As histórias permanecem independentes para entrega incremental, mas agrupadas sob o mesmo objetivo macro.)
🧑‍💼 Stakeholders Envolvidos
Área Comercial
Área Financeira
Equipe de Produto (IRIS ESB)
Time responsável pelo GUS
Time responsável pelo E‑Sales
Time de Arquitetura e Governança de Integrações
QA / Homologação
🚀 Benefícios Esperados
Redução de erros manuais no processo de pricing.
Aumento da confiabilidade das informações de margem.
Otimização das operações comerciais (tempo de cotação).
Aumento da precisão nas projeções financeiras e análises de margem.
Melhor experiência para os usuários das áreas comercial e financeira.
🔄 Critérios de Aceitação do Épico
O épico será considerado concluído quando:
Ambas as interfaces (com e sem desconto) estiverem implementadas, testadas e homologadas.
Processos de envio, rejeição, reprocessamento e logs estiverem implementados.
Todos os ambientes (DEV, TQA e PRD) estiverem configurados e validados.
Toda documentação funcional e técnica tiver sido atualizada.
O time comercial confirmar que os dados estão disponíveis e íntegros no E‑Sales.
🧭 Cutover do Épico
Comunicação às áreas usuárias sobre os novos fluxos.
Treinamento rápido sobre leitura e impacto das margens no E‑Sales.
Execução de testes fim a fim antes do go‑live.
Reprocessamento inicial das margens para garantir baseline consistente.
Monitoramento reforçado nas primeiras 72 horas pós-implantação.
📈 GUT Score do Épico
Gravidade: 8
Urgência: 7
Tendência: 8
Total: 448 (Alta Prioridade Estratégica)</t>
        </is>
      </c>
      <c r="S6" s="34" t="n">
        <v>2</v>
      </c>
      <c r="T6" s="11">
        <f>_xlfn.XLOOKUP(S6,Tabela4[Horas],Tabela4[Pontos],,1)</f>
        <v/>
      </c>
      <c r="U6" s="11" t="inlineStr">
        <is>
          <t>ENS-8908</t>
        </is>
      </c>
      <c r="V6" s="11" t="inlineStr">
        <is>
          <t>ENS-10849</t>
        </is>
      </c>
      <c r="W6" s="11" t="inlineStr">
        <is>
          <t>ENS-10850</t>
        </is>
      </c>
      <c r="X6" s="62" t="n"/>
      <c r="Y6" s="44">
        <f>HYPERLINK("https://tkebrasil.atlassian.net/browse/" &amp; U6,U6)</f>
        <v/>
      </c>
      <c r="Z6" s="44">
        <f>HYPERLINK("https://tkebrasil.atlassian.net/browse/" &amp; V6,V6)</f>
        <v/>
      </c>
      <c r="AA6" s="44">
        <f>HYPERLINK("https://tkebrasil.atlassian.net/browse/" &amp; W6,W6)</f>
        <v/>
      </c>
      <c r="AB6" s="43" t="n"/>
      <c r="AC6" s="38" t="inlineStr">
        <is>
          <t>X</t>
        </is>
      </c>
      <c r="AD6" s="38" t="inlineStr">
        <is>
          <t>BL</t>
        </is>
      </c>
      <c r="AE6" s="4">
        <f>IF($AD6=AE$1,$U6)</f>
        <v/>
      </c>
      <c r="AF6" s="4">
        <f>IF($AD6=AF$1,$U6)</f>
        <v/>
      </c>
      <c r="AG6" s="4">
        <f>IF($AD6=AG$1,$U6)</f>
        <v/>
      </c>
      <c r="AH6" s="4">
        <f>IF($AD6=AH$1,$V6)</f>
        <v/>
      </c>
      <c r="AI6" s="4">
        <f>IF($AD6=AI$1,$V6)</f>
        <v/>
      </c>
      <c r="AJ6" s="4">
        <f>IF($AD6=AJ$1,$V6)</f>
        <v/>
      </c>
      <c r="AK6" s="4">
        <f>IF($AD6=AK$1,$W6)</f>
        <v/>
      </c>
      <c r="AL6" s="4">
        <f>IF($AD6=AL$1,$W6)</f>
        <v/>
      </c>
      <c r="AM6" s="4">
        <f>IF($AD6=AM$1,$W6)</f>
        <v/>
      </c>
    </row>
    <row r="7" ht="15" customHeight="1">
      <c r="A7" s="28">
        <f>UPPER(LEFT(I7, 3))</f>
        <v/>
      </c>
      <c r="B7" s="29" t="inlineStr">
        <is>
          <t>2026-08-24</t>
        </is>
      </c>
      <c r="C7" s="11" t="n">
        <v>0</v>
      </c>
      <c r="D7" s="11" t="n">
        <v>0</v>
      </c>
      <c r="E7" s="11" t="n"/>
      <c r="F7" s="11" t="n">
        <v>0</v>
      </c>
      <c r="G7" s="11" t="inlineStr">
        <is>
          <t>INTERFACE</t>
        </is>
      </c>
      <c r="H7" s="33" t="inlineStr">
        <is>
          <t>NOVO DESENVOLVIMENTO</t>
        </is>
      </c>
      <c r="I7" s="32" t="inlineStr">
        <is>
          <t>ensemble@thyssenkruppelevadores.com.br</t>
        </is>
      </c>
      <c r="J7" s="33" t="inlineStr">
        <is>
          <t>Giovani Perotto Mesquita</t>
        </is>
      </c>
      <c r="K7" s="11">
        <f>_xlfn.XLOOKUP(Planilha!$J7,Tabela9[Pessoas],Tabela9[UUID Jira])</f>
        <v/>
      </c>
      <c r="L7" s="33" t="inlineStr">
        <is>
          <t>Luis Henrique Petkovicz</t>
        </is>
      </c>
      <c r="M7" s="11">
        <f>_xlfn.XLOOKUP(Planilha!$L7,Tabela9[Pessoas],Tabela9[UUID Jira])</f>
        <v/>
      </c>
      <c r="N7" s="11" t="inlineStr">
        <is>
          <t>Alterar logs do IRIS para tabela federada</t>
        </is>
      </c>
      <c r="O7" s="11" t="inlineStr">
        <is>
          <t>Alterar logs do IRIS para tabela federada 1</t>
        </is>
      </c>
      <c r="P7" s="11" t="inlineStr">
        <is>
          <t>Alterar logs do IRIS para tabela federada 1</t>
        </is>
      </c>
      <c r="Q7" s="11" t="inlineStr">
        <is>
          <t>Implementação</t>
        </is>
      </c>
      <c r="R7" s="37"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7" s="10" t="n">
        <v>2</v>
      </c>
      <c r="T7" s="11">
        <f>_xlfn.XLOOKUP(S7,Tabela4[Horas],Tabela4[Pontos],,1)</f>
        <v/>
      </c>
      <c r="U7" s="11" t="inlineStr">
        <is>
          <t>ENS-9944</t>
        </is>
      </c>
      <c r="V7" s="11" t="inlineStr">
        <is>
          <t>ENS-10851</t>
        </is>
      </c>
      <c r="W7" s="11" t="inlineStr">
        <is>
          <t>ENS-10852</t>
        </is>
      </c>
      <c r="X7" s="43" t="n"/>
      <c r="Y7" s="44">
        <f>HYPERLINK("https://tkebrasil.atlassian.net/browse/" &amp; U7,U7)</f>
        <v/>
      </c>
      <c r="Z7" s="44">
        <f>HYPERLINK("https://tkebrasil.atlassian.net/browse/" &amp; V7,V7)</f>
        <v/>
      </c>
      <c r="AA7" s="44">
        <f>HYPERLINK("https://tkebrasil.atlassian.net/browse/" &amp; W7,W7)</f>
        <v/>
      </c>
      <c r="AB7" s="43" t="n"/>
      <c r="AC7" s="38" t="inlineStr">
        <is>
          <t>X</t>
        </is>
      </c>
      <c r="AD7" s="38" t="inlineStr">
        <is>
          <t>BL</t>
        </is>
      </c>
      <c r="AE7" s="4">
        <f>IF($AD7=AE$1,$U7)</f>
        <v/>
      </c>
      <c r="AF7" s="4">
        <f>IF($AD7=AF$1,$U7)</f>
        <v/>
      </c>
      <c r="AG7" s="4">
        <f>IF($AD7=AG$1,$U7)</f>
        <v/>
      </c>
      <c r="AH7" s="4">
        <f>IF($AD7=AH$1,$V7)</f>
        <v/>
      </c>
      <c r="AI7" s="4">
        <f>IF($AD7=AI$1,$V7)</f>
        <v/>
      </c>
      <c r="AJ7" s="4">
        <f>IF($AD7=AJ$1,$V7)</f>
        <v/>
      </c>
      <c r="AK7" s="4">
        <f>IF($AD7=AK$1,$W7)</f>
        <v/>
      </c>
      <c r="AL7" s="4">
        <f>IF($AD7=AL$1,$W7)</f>
        <v/>
      </c>
      <c r="AM7" s="4">
        <f>IF($AD7=AM$1,$W7)</f>
        <v/>
      </c>
    </row>
    <row r="8" ht="15" customHeight="1">
      <c r="A8" s="28">
        <f>UPPER(LEFT(I8, 3))</f>
        <v/>
      </c>
      <c r="B8" s="29" t="inlineStr">
        <is>
          <t>2026-08-24</t>
        </is>
      </c>
      <c r="C8" s="11" t="n">
        <v>0</v>
      </c>
      <c r="D8" s="11" t="n">
        <v>0</v>
      </c>
      <c r="E8" s="11" t="n"/>
      <c r="F8" s="11" t="n">
        <v>0</v>
      </c>
      <c r="G8" s="11" t="inlineStr">
        <is>
          <t>INTERFACE</t>
        </is>
      </c>
      <c r="H8" s="33" t="inlineStr">
        <is>
          <t>NOVO DESENVOLVIMENTO</t>
        </is>
      </c>
      <c r="I8" s="32" t="inlineStr">
        <is>
          <t>ensemble@thyssenkruppelevadores.com.br</t>
        </is>
      </c>
      <c r="J8" s="33" t="inlineStr">
        <is>
          <t>Giovani Perotto Mesquita</t>
        </is>
      </c>
      <c r="K8" s="11">
        <f>_xlfn.XLOOKUP(Planilha!$J8,Tabela9[Pessoas],Tabela9[UUID Jira])</f>
        <v/>
      </c>
      <c r="L8" s="33" t="inlineStr">
        <is>
          <t>Regina Albanus</t>
        </is>
      </c>
      <c r="M8" s="11">
        <f>_xlfn.XLOOKUP(Planilha!$L8,Tabela9[Pessoas],Tabela9[UUID Jira])</f>
        <v/>
      </c>
      <c r="N8" s="11" t="inlineStr">
        <is>
          <t>Alterar logs do IRIS para tabela federada</t>
        </is>
      </c>
      <c r="O8" s="11" t="inlineStr">
        <is>
          <t>Alterar logs do IRIS para tabela federada 2</t>
        </is>
      </c>
      <c r="P8" s="11" t="inlineStr">
        <is>
          <t>Alterar logs do IRIS para tabela federada 2</t>
        </is>
      </c>
      <c r="Q8" s="11" t="inlineStr">
        <is>
          <t>Implementação</t>
        </is>
      </c>
      <c r="R8" s="37"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8" s="10" t="n">
        <v>2</v>
      </c>
      <c r="T8" s="11">
        <f>_xlfn.XLOOKUP(S8,Tabela4[Horas],Tabela4[Pontos],,1)</f>
        <v/>
      </c>
      <c r="U8" s="11" t="inlineStr">
        <is>
          <t>ENS-9944</t>
        </is>
      </c>
      <c r="V8" s="11" t="inlineStr">
        <is>
          <t>ENS-10853</t>
        </is>
      </c>
      <c r="W8" s="11" t="inlineStr">
        <is>
          <t>ENS-10854</t>
        </is>
      </c>
      <c r="X8" s="43" t="n"/>
      <c r="Y8" s="44">
        <f>HYPERLINK("https://tkebrasil.atlassian.net/browse/" &amp; U8,U8)</f>
        <v/>
      </c>
      <c r="Z8" s="44">
        <f>HYPERLINK("https://tkebrasil.atlassian.net/browse/" &amp; V8,V8)</f>
        <v/>
      </c>
      <c r="AA8" s="44">
        <f>HYPERLINK("https://tkebrasil.atlassian.net/browse/" &amp; W8,W8)</f>
        <v/>
      </c>
      <c r="AB8" s="43" t="n"/>
      <c r="AC8" s="38" t="inlineStr">
        <is>
          <t>X</t>
        </is>
      </c>
      <c r="AD8" s="38" t="inlineStr">
        <is>
          <t>BL</t>
        </is>
      </c>
      <c r="AE8" s="4">
        <f>IF($AD8=AE$1,$U8)</f>
        <v/>
      </c>
      <c r="AF8" s="4">
        <f>IF($AD8=AF$1,$U8)</f>
        <v/>
      </c>
      <c r="AG8" s="4">
        <f>IF($AD8=AG$1,$U8)</f>
        <v/>
      </c>
      <c r="AH8" s="4">
        <f>IF($AD8=AH$1,$V8)</f>
        <v/>
      </c>
      <c r="AI8" s="4">
        <f>IF($AD8=AI$1,$V8)</f>
        <v/>
      </c>
      <c r="AJ8" s="4">
        <f>IF($AD8=AJ$1,$V8)</f>
        <v/>
      </c>
      <c r="AK8" s="4">
        <f>IF($AD8=AK$1,$W8)</f>
        <v/>
      </c>
      <c r="AL8" s="4">
        <f>IF($AD8=AL$1,$W8)</f>
        <v/>
      </c>
      <c r="AM8" s="4">
        <f>IF($AD8=AM$1,$W8)</f>
        <v/>
      </c>
    </row>
    <row r="9" ht="15" customHeight="1">
      <c r="A9" s="28">
        <f>UPPER(LEFT(I9, 3))</f>
        <v/>
      </c>
      <c r="B9" s="29" t="inlineStr">
        <is>
          <t>2026-08-24</t>
        </is>
      </c>
      <c r="C9" s="11" t="n">
        <v>0</v>
      </c>
      <c r="D9" s="11" t="n">
        <v>0</v>
      </c>
      <c r="E9" s="11" t="n"/>
      <c r="F9" s="11" t="n">
        <v>0</v>
      </c>
      <c r="G9" s="11" t="inlineStr">
        <is>
          <t>INTERFACE</t>
        </is>
      </c>
      <c r="H9" s="33" t="inlineStr">
        <is>
          <t>NOVO DESENVOLVIMENTO</t>
        </is>
      </c>
      <c r="I9" s="32" t="inlineStr">
        <is>
          <t>ensemble@thyssenkruppelevadores.com.br</t>
        </is>
      </c>
      <c r="J9" s="33" t="inlineStr">
        <is>
          <t>Giovani Perotto Mesquita</t>
        </is>
      </c>
      <c r="K9" s="11">
        <f>_xlfn.XLOOKUP(Planilha!$J9,Tabela9[Pessoas],Tabela9[UUID Jira])</f>
        <v/>
      </c>
      <c r="L9" s="33" t="inlineStr">
        <is>
          <t>Pablo Rocha</t>
        </is>
      </c>
      <c r="M9" s="11">
        <f>_xlfn.XLOOKUP(Planilha!$L9,Tabela9[Pessoas],Tabela9[UUID Jira])</f>
        <v/>
      </c>
      <c r="N9" s="11" t="inlineStr">
        <is>
          <t>Alterar logs do IRIS para tabela federada</t>
        </is>
      </c>
      <c r="O9" s="11" t="inlineStr">
        <is>
          <t>Alterar logs do IRIS para tabela federada 3</t>
        </is>
      </c>
      <c r="P9" s="11" t="inlineStr">
        <is>
          <t>Alterar logs do IRIS para tabela federada 3</t>
        </is>
      </c>
      <c r="Q9" s="11" t="inlineStr">
        <is>
          <t>Implementação</t>
        </is>
      </c>
      <c r="R9" s="37"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9" s="10" t="n">
        <v>8</v>
      </c>
      <c r="T9" s="11">
        <f>_xlfn.XLOOKUP(S9,Tabela4[Horas],Tabela4[Pontos],,1)</f>
        <v/>
      </c>
      <c r="U9" s="11" t="inlineStr">
        <is>
          <t>ENS-9944</t>
        </is>
      </c>
      <c r="V9" s="11" t="inlineStr">
        <is>
          <t>ENS-10855</t>
        </is>
      </c>
      <c r="W9" s="11" t="inlineStr">
        <is>
          <t>ENS-10856</t>
        </is>
      </c>
      <c r="X9" s="43" t="n"/>
      <c r="Y9" s="44">
        <f>HYPERLINK("https://tkebrasil.atlassian.net/browse/" &amp; U9,U9)</f>
        <v/>
      </c>
      <c r="Z9" s="44">
        <f>HYPERLINK("https://tkebrasil.atlassian.net/browse/" &amp; V9,V9)</f>
        <v/>
      </c>
      <c r="AA9" s="44">
        <f>HYPERLINK("https://tkebrasil.atlassian.net/browse/" &amp; W9,W9)</f>
        <v/>
      </c>
      <c r="AB9" s="43" t="n"/>
      <c r="AC9" s="38" t="inlineStr">
        <is>
          <t>X</t>
        </is>
      </c>
      <c r="AD9" s="38" t="inlineStr">
        <is>
          <t>BL</t>
        </is>
      </c>
      <c r="AE9" s="4">
        <f>IF($AD9=AE$1,$U9)</f>
        <v/>
      </c>
      <c r="AF9" s="4">
        <f>IF($AD9=AF$1,$U9)</f>
        <v/>
      </c>
      <c r="AG9" s="4">
        <f>IF($AD9=AG$1,$U9)</f>
        <v/>
      </c>
      <c r="AH9" s="4">
        <f>IF($AD9=AH$1,$V9)</f>
        <v/>
      </c>
      <c r="AI9" s="4">
        <f>IF($AD9=AI$1,$V9)</f>
        <v/>
      </c>
      <c r="AJ9" s="4">
        <f>IF($AD9=AJ$1,$V9)</f>
        <v/>
      </c>
      <c r="AK9" s="4">
        <f>IF($AD9=AK$1,$W9)</f>
        <v/>
      </c>
      <c r="AL9" s="4">
        <f>IF($AD9=AL$1,$W9)</f>
        <v/>
      </c>
      <c r="AM9" s="4">
        <f>IF($AD9=AM$1,$W9)</f>
        <v/>
      </c>
    </row>
    <row r="10" ht="15" customHeight="1">
      <c r="A10" s="28">
        <f>UPPER(LEFT(I10, 3))</f>
        <v/>
      </c>
      <c r="B10" s="29" t="inlineStr">
        <is>
          <t>2026-08-24</t>
        </is>
      </c>
      <c r="C10" s="11" t="inlineStr">
        <is>
          <t>CR AP Summary</t>
        </is>
      </c>
      <c r="D10" s="11" t="inlineStr">
        <is>
          <t>CR AP Summary</t>
        </is>
      </c>
      <c r="E10" s="11" t="n"/>
      <c r="F10" s="11" t="n">
        <v>0</v>
      </c>
      <c r="G10" s="11" t="inlineStr">
        <is>
          <t>INTERFACE</t>
        </is>
      </c>
      <c r="H10" s="33" t="inlineStr">
        <is>
          <t>NOVO DESENVOLVIMENTO</t>
        </is>
      </c>
      <c r="I10" s="32" t="inlineStr">
        <is>
          <t>ensemble@thyssenkruppelevadores.com.br</t>
        </is>
      </c>
      <c r="J10" s="33" t="inlineStr">
        <is>
          <t>Giovani Perotto Mesquita</t>
        </is>
      </c>
      <c r="K10" s="11">
        <f>_xlfn.XLOOKUP(Planilha!$J10,Tabela9[Pessoas],Tabela9[UUID Jira])</f>
        <v/>
      </c>
      <c r="L10" s="33" t="inlineStr">
        <is>
          <t>Regina Albanus</t>
        </is>
      </c>
      <c r="M10" s="11">
        <f>_xlfn.XLOOKUP(Planilha!$L10,Tabela9[Pessoas],Tabela9[UUID Jira])</f>
        <v/>
      </c>
      <c r="N10" s="11" t="inlineStr">
        <is>
          <t>Alteração da interface Sincrona para Assincrona do AP Summary</t>
        </is>
      </c>
      <c r="O10" s="11" t="inlineStr">
        <is>
          <t>Alteração da interface Sincrona para Assincrona do AP Summary</t>
        </is>
      </c>
      <c r="P10" s="11" t="inlineStr">
        <is>
          <t>Alteração da interface Sincrona para Assincrona do AP Summary</t>
        </is>
      </c>
      <c r="Q10" s="33" t="inlineStr">
        <is>
          <t>Execução de Testes</t>
        </is>
      </c>
      <c r="R10" s="37" t="inlineStr">
        <is>
          <t>Conforme CR do projeto AP Summary</t>
        </is>
      </c>
      <c r="S10" s="10" t="n">
        <v>2</v>
      </c>
      <c r="T10" s="11">
        <f>_xlfn.XLOOKUP(S10,Tabela4[Horas],Tabela4[Pontos],,1)</f>
        <v/>
      </c>
      <c r="U10" s="11" t="inlineStr">
        <is>
          <t>ENS-9951</t>
        </is>
      </c>
      <c r="V10" s="11" t="inlineStr">
        <is>
          <t>ENS-10857</t>
        </is>
      </c>
      <c r="W10" s="11" t="inlineStr">
        <is>
          <t>ENS-10858</t>
        </is>
      </c>
      <c r="X10" s="43" t="n"/>
      <c r="Y10" s="44">
        <f>HYPERLINK("https://tkebrasil.atlassian.net/browse/" &amp; U10,U10)</f>
        <v/>
      </c>
      <c r="Z10" s="44">
        <f>HYPERLINK("https://tkebrasil.atlassian.net/browse/" &amp; V10,V10)</f>
        <v/>
      </c>
      <c r="AA10" s="44">
        <f>HYPERLINK("https://tkebrasil.atlassian.net/browse/" &amp; W10,W10)</f>
        <v/>
      </c>
      <c r="AB10" s="43" t="n"/>
      <c r="AC10" s="38" t="inlineStr">
        <is>
          <t>X</t>
        </is>
      </c>
      <c r="AD10" s="38" t="inlineStr">
        <is>
          <t>BL</t>
        </is>
      </c>
      <c r="AE10" s="4">
        <f>IF($AD10=AE$1,$U10)</f>
        <v/>
      </c>
      <c r="AF10" s="4">
        <f>IF($AD10=AF$1,$U10)</f>
        <v/>
      </c>
      <c r="AG10" s="4">
        <f>IF($AD10=AG$1,$U10)</f>
        <v/>
      </c>
      <c r="AH10" s="4">
        <f>IF($AD10=AH$1,$V10)</f>
        <v/>
      </c>
      <c r="AI10" s="4">
        <f>IF($AD10=AI$1,$V10)</f>
        <v/>
      </c>
      <c r="AJ10" s="4">
        <f>IF($AD10=AJ$1,$V10)</f>
        <v/>
      </c>
      <c r="AK10" s="4">
        <f>IF($AD10=AK$1,$W10)</f>
        <v/>
      </c>
      <c r="AL10" s="4">
        <f>IF($AD10=AL$1,$W10)</f>
        <v/>
      </c>
      <c r="AM10" s="4">
        <f>IF($AD10=AM$1,$W10)</f>
        <v/>
      </c>
    </row>
    <row r="11" ht="15" customHeight="1">
      <c r="A11" s="28">
        <f>UPPER(LEFT(I11, 3))</f>
        <v/>
      </c>
      <c r="B11" s="29" t="inlineStr">
        <is>
          <t>2026-08-24</t>
        </is>
      </c>
      <c r="C11" s="11" t="inlineStr">
        <is>
          <t>REQ0505088</t>
        </is>
      </c>
      <c r="D11" s="40" t="inlineStr">
        <is>
          <t>SCTASK0704281</t>
        </is>
      </c>
      <c r="E11" s="11" t="n"/>
      <c r="F11" s="11" t="n">
        <v>0</v>
      </c>
      <c r="G11" s="11" t="inlineStr">
        <is>
          <t>INTERFACE</t>
        </is>
      </c>
      <c r="H11" s="11" t="inlineStr">
        <is>
          <t>ALTERAÇÃO</t>
        </is>
      </c>
      <c r="I11" s="32" t="inlineStr">
        <is>
          <t>ensemble@thyssenkruppelevadores.com.br</t>
        </is>
      </c>
      <c r="J11" s="33" t="inlineStr">
        <is>
          <t>Giovani Perotto Mesquita</t>
        </is>
      </c>
      <c r="K11" s="11">
        <f>_xlfn.XLOOKUP(Planilha!$J11,Tabela9[Pessoas],Tabela9[UUID Jira])</f>
        <v/>
      </c>
      <c r="L11" s="33" t="inlineStr">
        <is>
          <t>Luiz Felipe Brandão da Silva</t>
        </is>
      </c>
      <c r="M11" s="11">
        <f>_xlfn.XLOOKUP(Planilha!$L11,Tabela9[Pessoas],Tabela9[UUID Jira])</f>
        <v/>
      </c>
      <c r="N11" s="11" t="inlineStr">
        <is>
          <t>Alterar na interface PosicaoFinanceira.ContratosContatos para que tivermos erro interno do IRIS, mandar uma mensagem</t>
        </is>
      </c>
      <c r="O11" s="11" t="inlineStr">
        <is>
          <t>Alterar na interface PosicaoFinanceira.ContratosContatos para que tivermos erro interno do IRIS, mandar uma mensagem</t>
        </is>
      </c>
      <c r="P11" s="11" t="inlineStr">
        <is>
          <t>Alterar na interface PosicaoFinanceira.ContratosContatos para que tivermos erro interno do IRIS, mandar uma mensagem</t>
        </is>
      </c>
      <c r="Q11" s="33" t="inlineStr">
        <is>
          <t>Execução de Testes</t>
        </is>
      </c>
      <c r="R11" s="11" t="inlineStr">
        <is>
          <t>Alterar na interface PosicaoFinanceira.ContratosContatos para que tivermos erro interno do IRIS, mandar uma mensagem. PO - Marco Gross</t>
        </is>
      </c>
      <c r="S11" s="10" t="n">
        <v>2</v>
      </c>
      <c r="T11" s="11">
        <f>_xlfn.XLOOKUP(S11,Tabela4[Horas],Tabela4[Pontos],,1)</f>
        <v/>
      </c>
      <c r="U11" s="11" t="inlineStr">
        <is>
          <t>ENS-9954</t>
        </is>
      </c>
      <c r="V11" s="11" t="inlineStr">
        <is>
          <t>ENS-10859</t>
        </is>
      </c>
      <c r="W11" s="11" t="inlineStr">
        <is>
          <t>ENS-10860</t>
        </is>
      </c>
      <c r="X11" s="43" t="n"/>
      <c r="Y11" s="44">
        <f>HYPERLINK("https://tkebrasil.atlassian.net/browse/" &amp; U11,U11)</f>
        <v/>
      </c>
      <c r="Z11" s="44">
        <f>HYPERLINK("https://tkebrasil.atlassian.net/browse/" &amp; V11,V11)</f>
        <v/>
      </c>
      <c r="AA11" s="44">
        <f>HYPERLINK("https://tkebrasil.atlassian.net/browse/" &amp; W11,W11)</f>
        <v/>
      </c>
      <c r="AB11" s="43" t="n"/>
      <c r="AC11" s="38" t="inlineStr">
        <is>
          <t>X</t>
        </is>
      </c>
      <c r="AD11" s="38" t="inlineStr">
        <is>
          <t>BL</t>
        </is>
      </c>
      <c r="AE11" s="4">
        <f>IF($AD11=AE$1,$U11)</f>
        <v/>
      </c>
      <c r="AF11" s="4">
        <f>IF($AD11=AF$1,$U11)</f>
        <v/>
      </c>
      <c r="AG11" s="4">
        <f>IF($AD11=AG$1,$U11)</f>
        <v/>
      </c>
      <c r="AH11" s="4">
        <f>IF($AD11=AH$1,$V11)</f>
        <v/>
      </c>
      <c r="AI11" s="4">
        <f>IF($AD11=AI$1,$V11)</f>
        <v/>
      </c>
      <c r="AJ11" s="4">
        <f>IF($AD11=AJ$1,$V11)</f>
        <v/>
      </c>
      <c r="AK11" s="4">
        <f>IF($AD11=AK$1,$W11)</f>
        <v/>
      </c>
      <c r="AL11" s="4">
        <f>IF($AD11=AL$1,$W11)</f>
        <v/>
      </c>
      <c r="AM11" s="4">
        <f>IF($AD11=AM$1,$W11)</f>
        <v/>
      </c>
    </row>
    <row r="12" ht="15" customHeight="1">
      <c r="A12" s="28">
        <f>UPPER(LEFT(I12, 3))</f>
        <v/>
      </c>
      <c r="B12" s="29" t="inlineStr">
        <is>
          <t>2026-08-24</t>
        </is>
      </c>
      <c r="C12" s="28" t="inlineStr">
        <is>
          <t>REQ0396346</t>
        </is>
      </c>
      <c r="D12" s="11" t="inlineStr">
        <is>
          <t>SCTASK0592786</t>
        </is>
      </c>
      <c r="E12" s="36" t="n"/>
      <c r="F12" s="36" t="n">
        <v>0</v>
      </c>
      <c r="G12" s="11" t="inlineStr">
        <is>
          <t>INTERFACE</t>
        </is>
      </c>
      <c r="H12" s="33" t="inlineStr">
        <is>
          <t>ALTERAÇÃO</t>
        </is>
      </c>
      <c r="I12" s="32" t="inlineStr">
        <is>
          <t>ensemble@thyssenkruppelevadores.com.br</t>
        </is>
      </c>
      <c r="J12" s="33" t="inlineStr">
        <is>
          <t>Giovani Perotto Mesquita</t>
        </is>
      </c>
      <c r="K12" s="11">
        <f>_xlfn.XLOOKUP(Planilha!$J12,Tabela9[Pessoas],Tabela9[UUID Jira])</f>
        <v/>
      </c>
      <c r="L12" s="11" t="inlineStr">
        <is>
          <t>Pablo Rocha</t>
        </is>
      </c>
      <c r="M12" s="11">
        <f>_xlfn.XLOOKUP(Planilha!$L12,Tabela9[Pessoas],Tabela9[UUID Jira])</f>
        <v/>
      </c>
      <c r="N12"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O12"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P12"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Q12" s="33" t="inlineStr">
        <is>
          <t>Execução de Testes</t>
        </is>
      </c>
      <c r="R12" s="37" t="inlineStr">
        <is>
          <t>🧾 Defined Requirement
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
🧑‍💼 Contact
João Mateus – Product Owner SAP
Stephanie - Product Owner GUS
Equipe SAP
Equipe IRIS
Equipe GUS
Gabriel Kramer – Stakeholder (reunião prévia)
Fernanda Gelatti – Stakeholder (reunião prévia)
📖 User Story Title
As a Analista de Negócio, I want que o SAP envie separadamente os valores de Preço de Manutenção e Preço Max, so that os contratos PRICING sejam ajustados corretamente no GUS e alinhem as linhas CMAX no SAP.
📊 Prioritization
Priority: High
Justificativa:
Business value: Permite cálculo correto de reajustes contratuais PRICING.
Impacto: Impede inconsistências financeiras e retrabalho manual.
Urgência: Situação atual bloqueia ajustes corretos no GUS.
Dependências: Integração direta entre SAP, IRIS e GUS.
🔍 Current Process (AS IS)
Atualmente, o SAP envia um único valor de reajuste, sem separação entre Preço de Manutenção e Preço Max. Esse modelo impossibilita:
Ajuste correto das tabelas no GUS
Alinhamento das linhas CMAX no SAP
🚀 Future Process (TO BE)
O SAP passa a disponibilizar um novo campo “Preço Max” na ZV75, enviando:
Preço de Manutenção
Preço Max
O IRIS atualiza o arquivo de integração e o GUS recebe os valores de forma segregada, aplicando corretamente os ajustes conforme a regra de negócio.
🎯 Change Objective
Garantir conformidade contratual e correto tratamento financeiro dos contratos PRICING, eliminando inconsistências e dependência de ajustes manuais.
❌ Out of Scope
Alterações em tipos contratuais que não sejam PRICING
Revisão de regras de cálculo no GUS além do consumo do novo campo
Mudanças retroativas em contratos já encerrados
✅ Acceptance Criteria (BDD)
Scenario 1 – Envio correto dos valores segregados
Given que existe um contrato do tipo PRICING no SAP
When o reajuste contratual for processado
Then o SAP deve enviar separadamente os campos “Preço de Manutenção” e “Preço Max” para o IRIS
And o GUS deve receber ambos os valores de forma estruturada
Scenario 2 – Campo obrigatório
Given um contrato PRICING
When o campo “Preço Max” não estiver preenchido
Then o contrato não deve ser enviado para integração
🧪 Validation Test Scenarios
Cenário 1 – Fluxo completo SAP → IRIS → GUS
Precondições:
Contrato PRICING ativo no SAP
Passos:
Informar Preço de Manutenção
Informar Preço Max na ZV75
Executar integração
Resultado Esperado:
Ambos os valores recebidos corretamente no GUS
❌ Rejection Test Scenarios
Cenário – Envio de valor único
Situação: SAP envia apenas um valor consolidado
Resultado Esperado:
Integração rejeitada ou sinalizada como incorreta
GUS não aplica ajuste
🔄 Regression Test Scenarios
Cenário – Contratos não PRICING
Verificação:
Contratos de outros tipos continuam funcionando sem impacto
Resultado Esperado:
Nenhuma alteração nos fluxos existentes
🧭 Cutover Suggestion
Comunicação aos times SAP, IRIS e GUS sobre o novo campo
Atualização do layout de integração
Testes integrados em ambiente controlado
Liberação coordenada em produção
📈 Score (GUT)
CritérioNotaGravity (Gravidade)5Urgency (Urgência)4Trend (Tendência)4GUT Total80</t>
        </is>
      </c>
      <c r="S12" s="10" t="n">
        <v>2</v>
      </c>
      <c r="T12" s="11">
        <f>_xlfn.XLOOKUP(S12,Tabela4[Horas],Tabela4[Pontos],,1)</f>
        <v/>
      </c>
      <c r="U12" s="11" t="inlineStr">
        <is>
          <t>ENS-9957</t>
        </is>
      </c>
      <c r="V12" s="11" t="inlineStr">
        <is>
          <t>ENS-10861</t>
        </is>
      </c>
      <c r="W12" s="11" t="inlineStr">
        <is>
          <t>ENS-10862</t>
        </is>
      </c>
      <c r="X12" s="43" t="n"/>
      <c r="Y12" s="44">
        <f>HYPERLINK("https://tkebrasil.atlassian.net/browse/" &amp; U12,U12)</f>
        <v/>
      </c>
      <c r="Z12" s="44">
        <f>HYPERLINK("https://tkebrasil.atlassian.net/browse/" &amp; V12,V12)</f>
        <v/>
      </c>
      <c r="AA12" s="44">
        <f>HYPERLINK("https://tkebrasil.atlassian.net/browse/" &amp; W12,W12)</f>
        <v/>
      </c>
      <c r="AB12" s="43" t="n"/>
      <c r="AC12" s="38" t="inlineStr">
        <is>
          <t>X</t>
        </is>
      </c>
      <c r="AD12" s="38" t="inlineStr">
        <is>
          <t>BL</t>
        </is>
      </c>
      <c r="AE12" s="4">
        <f>IF($AD12=AE$1,$U12)</f>
        <v/>
      </c>
      <c r="AF12" s="4">
        <f>IF($AD12=AF$1,$U12)</f>
        <v/>
      </c>
      <c r="AG12" s="4">
        <f>IF($AD12=AG$1,$U12)</f>
        <v/>
      </c>
      <c r="AH12" s="4">
        <f>IF($AD12=AH$1,$V12)</f>
        <v/>
      </c>
      <c r="AI12" s="4">
        <f>IF($AD12=AI$1,$V12)</f>
        <v/>
      </c>
      <c r="AJ12" s="4">
        <f>IF($AD12=AJ$1,$V12)</f>
        <v/>
      </c>
      <c r="AK12" s="4">
        <f>IF($AD12=AK$1,$W12)</f>
        <v/>
      </c>
      <c r="AL12" s="4">
        <f>IF($AD12=AL$1,$W12)</f>
        <v/>
      </c>
      <c r="AM12" s="4">
        <f>IF($AD12=AM$1,$W12)</f>
        <v/>
      </c>
    </row>
    <row r="13" ht="15" customHeight="1">
      <c r="A13" s="28">
        <f>UPPER(LEFT(I13, 3))</f>
        <v/>
      </c>
      <c r="B13" s="29" t="inlineStr">
        <is>
          <t>2026-08-24</t>
        </is>
      </c>
      <c r="C13" s="11" t="inlineStr">
        <is>
          <t>REQ0522963</t>
        </is>
      </c>
      <c r="D13" s="11" t="inlineStr">
        <is>
          <t>SCTASK0727583</t>
        </is>
      </c>
      <c r="E13" s="11" t="n"/>
      <c r="F13" s="11" t="n">
        <v>0</v>
      </c>
      <c r="G13" s="11" t="inlineStr">
        <is>
          <t>INTERFACE</t>
        </is>
      </c>
      <c r="H13" s="33" t="inlineStr">
        <is>
          <t>NOVO DESENVOLVIMENTO</t>
        </is>
      </c>
      <c r="I13" s="32" t="inlineStr">
        <is>
          <t>ensemble@thyssenkruppelevadores.com.br</t>
        </is>
      </c>
      <c r="J13" s="33" t="inlineStr">
        <is>
          <t>Giovani Perotto Mesquita</t>
        </is>
      </c>
      <c r="K13" s="11">
        <f>_xlfn.XLOOKUP(Planilha!$J13,Tabela9[Pessoas],Tabela9[UUID Jira])</f>
        <v/>
      </c>
      <c r="L13" s="33" t="inlineStr">
        <is>
          <t>Luiz Felipe Brandão da Silva</t>
        </is>
      </c>
      <c r="M13" s="11">
        <f>_xlfn.XLOOKUP(Planilha!$L13,Tabela9[Pessoas],Tabela9[UUID Jira])</f>
        <v/>
      </c>
      <c r="N13" s="11" t="inlineStr">
        <is>
          <t>Criar alerta quando mensagem da Adobe chegar no webhook</t>
        </is>
      </c>
      <c r="O13" s="11" t="inlineStr">
        <is>
          <t>Criar alerta quando mensagem da Adobe chegar no webhook</t>
        </is>
      </c>
      <c r="P13" s="11" t="inlineStr">
        <is>
          <t>Criar alerta quando mensagem da Adobe chegar no webhook</t>
        </is>
      </c>
      <c r="Q13" s="33" t="inlineStr">
        <is>
          <t>Execução de Testes</t>
        </is>
      </c>
      <c r="R13"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13" s="10" t="n">
        <v>2</v>
      </c>
      <c r="T13" s="11">
        <f>_xlfn.XLOOKUP(S13,Tabela4[Horas],Tabela4[Pontos],,1)</f>
        <v/>
      </c>
      <c r="U13" s="11" t="inlineStr">
        <is>
          <t>ENS-10442</t>
        </is>
      </c>
      <c r="V13" s="11" t="inlineStr">
        <is>
          <t>ENS-10863</t>
        </is>
      </c>
      <c r="W13" s="11" t="inlineStr">
        <is>
          <t>ENS-10864</t>
        </is>
      </c>
      <c r="X13" s="43" t="n"/>
      <c r="Y13" s="44">
        <f>HYPERLINK("https://tkebrasil.atlassian.net/browse/" &amp; U13,U13)</f>
        <v/>
      </c>
      <c r="Z13" s="44">
        <f>HYPERLINK("https://tkebrasil.atlassian.net/browse/" &amp; V13,V13)</f>
        <v/>
      </c>
      <c r="AA13" s="44">
        <f>HYPERLINK("https://tkebrasil.atlassian.net/browse/" &amp; W13,W13)</f>
        <v/>
      </c>
      <c r="AB13" s="43" t="n"/>
      <c r="AC13" s="38" t="inlineStr">
        <is>
          <t>X</t>
        </is>
      </c>
      <c r="AD13" s="38" t="inlineStr">
        <is>
          <t>BL</t>
        </is>
      </c>
      <c r="AE13" s="4">
        <f>IF($AD13=AE$1,$U13)</f>
        <v/>
      </c>
      <c r="AF13" s="4">
        <f>IF($AD13=AF$1,$U13)</f>
        <v/>
      </c>
      <c r="AG13" s="4">
        <f>IF($AD13=AG$1,$U13)</f>
        <v/>
      </c>
      <c r="AH13" s="4">
        <f>IF($AD13=AH$1,$V13)</f>
        <v/>
      </c>
      <c r="AI13" s="4">
        <f>IF($AD13=AI$1,$V13)</f>
        <v/>
      </c>
      <c r="AJ13" s="4">
        <f>IF($AD13=AJ$1,$V13)</f>
        <v/>
      </c>
      <c r="AK13" s="4">
        <f>IF($AD13=AK$1,$W13)</f>
        <v/>
      </c>
      <c r="AL13" s="4">
        <f>IF($AD13=AL$1,$W13)</f>
        <v/>
      </c>
      <c r="AM13" s="4">
        <f>IF($AD13=AM$1,$W13)</f>
        <v/>
      </c>
    </row>
    <row r="14" ht="15" customHeight="1">
      <c r="A14" s="28">
        <f>UPPER(LEFT(I14, 3))</f>
        <v/>
      </c>
      <c r="B14" s="29" t="inlineStr">
        <is>
          <t>2026-08-24</t>
        </is>
      </c>
      <c r="C14" s="11" t="inlineStr">
        <is>
          <t>REQ0522901</t>
        </is>
      </c>
      <c r="D14" s="11" t="inlineStr">
        <is>
          <t>SCTASK0727520</t>
        </is>
      </c>
      <c r="E14" s="11" t="n"/>
      <c r="F14" s="11" t="n">
        <v>0</v>
      </c>
      <c r="G14" s="11" t="inlineStr">
        <is>
          <t>INTERFACE</t>
        </is>
      </c>
      <c r="H14" s="33" t="inlineStr">
        <is>
          <t>NOVO DESENVOLVIMENTO</t>
        </is>
      </c>
      <c r="I14" s="32" t="inlineStr">
        <is>
          <t>ensemble@thyssenkruppelevadores.com.br</t>
        </is>
      </c>
      <c r="J14" s="33" t="inlineStr">
        <is>
          <t>Giovani Perotto Mesquita</t>
        </is>
      </c>
      <c r="K14" s="11">
        <f>_xlfn.XLOOKUP(Planilha!$J14,Tabela9[Pessoas],Tabela9[UUID Jira])</f>
        <v/>
      </c>
      <c r="L14" s="33" t="inlineStr">
        <is>
          <t>Regina Albanus</t>
        </is>
      </c>
      <c r="M14" s="11">
        <f>_xlfn.XLOOKUP(Planilha!$L14,Tabela9[Pessoas],Tabela9[UUID Jira])</f>
        <v/>
      </c>
      <c r="N14" s="11" t="inlineStr">
        <is>
          <t>Implementar API Soluti timestamp</t>
        </is>
      </c>
      <c r="O14" s="11" t="inlineStr">
        <is>
          <t>Implementar API Soluti timestamp</t>
        </is>
      </c>
      <c r="P14" s="11" t="inlineStr">
        <is>
          <t>Implementar API Soluti timestamp</t>
        </is>
      </c>
      <c r="Q14" s="33" t="inlineStr">
        <is>
          <t>Execução de Testes</t>
        </is>
      </c>
      <c r="R14"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14" s="10" t="n">
        <v>4</v>
      </c>
      <c r="T14" s="11">
        <f>_xlfn.XLOOKUP(S14,Tabela4[Horas],Tabela4[Pontos],,1)</f>
        <v/>
      </c>
      <c r="U14" s="11" t="inlineStr">
        <is>
          <t>ENS-10362</t>
        </is>
      </c>
      <c r="V14" s="11" t="inlineStr">
        <is>
          <t>ENS-10865</t>
        </is>
      </c>
      <c r="W14" s="11" t="inlineStr">
        <is>
          <t>ENS-10866</t>
        </is>
      </c>
      <c r="X14" s="43" t="n"/>
      <c r="Y14" s="44">
        <f>HYPERLINK("https://tkebrasil.atlassian.net/browse/" &amp; U14,U14)</f>
        <v/>
      </c>
      <c r="Z14" s="44">
        <f>HYPERLINK("https://tkebrasil.atlassian.net/browse/" &amp; V14,V14)</f>
        <v/>
      </c>
      <c r="AA14" s="44">
        <f>HYPERLINK("https://tkebrasil.atlassian.net/browse/" &amp; W14,W14)</f>
        <v/>
      </c>
      <c r="AB14" s="43" t="n"/>
      <c r="AC14" s="38" t="inlineStr">
        <is>
          <t>X</t>
        </is>
      </c>
      <c r="AD14" s="38" t="inlineStr">
        <is>
          <t>BL</t>
        </is>
      </c>
      <c r="AE14" s="4">
        <f>IF($AD14=AE$1,$U14)</f>
        <v/>
      </c>
      <c r="AF14" s="4">
        <f>IF($AD14=AF$1,$U14)</f>
        <v/>
      </c>
      <c r="AG14" s="4">
        <f>IF($AD14=AG$1,$U14)</f>
        <v/>
      </c>
      <c r="AH14" s="4">
        <f>IF($AD14=AH$1,$V14)</f>
        <v/>
      </c>
      <c r="AI14" s="4">
        <f>IF($AD14=AI$1,$V14)</f>
        <v/>
      </c>
      <c r="AJ14" s="4">
        <f>IF($AD14=AJ$1,$V14)</f>
        <v/>
      </c>
      <c r="AK14" s="4">
        <f>IF($AD14=AK$1,$W14)</f>
        <v/>
      </c>
      <c r="AL14" s="4">
        <f>IF($AD14=AL$1,$W14)</f>
        <v/>
      </c>
      <c r="AM14" s="4">
        <f>IF($AD14=AM$1,$W14)</f>
        <v/>
      </c>
    </row>
    <row r="15" ht="15" customHeight="1">
      <c r="A15" s="28">
        <f>UPPER(LEFT(I15, 3))</f>
        <v/>
      </c>
      <c r="B15" s="29" t="inlineStr">
        <is>
          <t>2026-08-24</t>
        </is>
      </c>
      <c r="C15" s="11" t="inlineStr">
        <is>
          <t>REQ0482512</t>
        </is>
      </c>
      <c r="D15" s="40" t="inlineStr">
        <is>
          <t>SCTASK0708892</t>
        </is>
      </c>
      <c r="E15" s="11" t="n"/>
      <c r="F15" s="11" t="n">
        <v>0</v>
      </c>
      <c r="G15" s="11" t="inlineStr">
        <is>
          <t>INTERFACE</t>
        </is>
      </c>
      <c r="H15" s="33" t="inlineStr">
        <is>
          <t>NOVO DESENVOLVIMENTO</t>
        </is>
      </c>
      <c r="I15" s="32" t="inlineStr">
        <is>
          <t>ensemble@thyssenkruppelevadores.com.br</t>
        </is>
      </c>
      <c r="J15" s="33" t="inlineStr">
        <is>
          <t>Giovani Perotto Mesquita</t>
        </is>
      </c>
      <c r="K15" s="11">
        <f>_xlfn.XLOOKUP(Planilha!$J15,Tabela9[Pessoas],Tabela9[UUID Jira])</f>
        <v/>
      </c>
      <c r="L15" s="33" t="inlineStr">
        <is>
          <t>Pablo Rocha</t>
        </is>
      </c>
      <c r="M15" s="11">
        <f>_xlfn.XLOOKUP(Planilha!$L15,Tabela9[Pessoas],Tabela9[UUID Jira])</f>
        <v/>
      </c>
      <c r="N15" s="11" t="inlineStr">
        <is>
          <t>Enviar CPF via jspv</t>
        </is>
      </c>
      <c r="O15" s="11" t="inlineStr">
        <is>
          <t>Enviar CPF via jspv</t>
        </is>
      </c>
      <c r="P15" s="41" t="inlineStr">
        <is>
          <t>Enviar CPF via jspv</t>
        </is>
      </c>
      <c r="Q15" s="33" t="inlineStr">
        <is>
          <t>Execução de Testes</t>
        </is>
      </c>
      <c r="R15" s="37" t="inlineStr">
        <is>
          <t>Demanda da Stephanie, segunda a mesma seria só incluir este campo</t>
        </is>
      </c>
      <c r="S15" s="10" t="n">
        <v>2</v>
      </c>
      <c r="T15" s="11">
        <f>_xlfn.XLOOKUP(S15,Tabela4[Horas],Tabela4[Pontos],,1)</f>
        <v/>
      </c>
      <c r="U15" s="11" t="inlineStr">
        <is>
          <t>ENS-10576</t>
        </is>
      </c>
      <c r="V15" s="11" t="inlineStr">
        <is>
          <t>ENS-10867</t>
        </is>
      </c>
      <c r="W15" s="11" t="inlineStr">
        <is>
          <t>ENS-10868</t>
        </is>
      </c>
      <c r="X15" s="43" t="n"/>
      <c r="Y15" s="44">
        <f>HYPERLINK("https://tkebrasil.atlassian.net/browse/" &amp; U15,U15)</f>
        <v/>
      </c>
      <c r="Z15" s="44">
        <f>HYPERLINK("https://tkebrasil.atlassian.net/browse/" &amp; V15,V15)</f>
        <v/>
      </c>
      <c r="AA15" s="44">
        <f>HYPERLINK("https://tkebrasil.atlassian.net/browse/" &amp; W15,W15)</f>
        <v/>
      </c>
      <c r="AB15" s="43" t="n"/>
      <c r="AC15" s="38" t="inlineStr">
        <is>
          <t>X</t>
        </is>
      </c>
      <c r="AD15" s="38" t="inlineStr">
        <is>
          <t>BL</t>
        </is>
      </c>
      <c r="AE15" s="4">
        <f>IF($AD15=AE$1,$U15)</f>
        <v/>
      </c>
      <c r="AF15" s="4">
        <f>IF($AD15=AF$1,$U15)</f>
        <v/>
      </c>
      <c r="AG15" s="4">
        <f>IF($AD15=AG$1,$U15)</f>
        <v/>
      </c>
      <c r="AH15" s="4">
        <f>IF($AD15=AH$1,$V15)</f>
        <v/>
      </c>
      <c r="AI15" s="4">
        <f>IF($AD15=AI$1,$V15)</f>
        <v/>
      </c>
      <c r="AJ15" s="4">
        <f>IF($AD15=AJ$1,$V15)</f>
        <v/>
      </c>
      <c r="AK15" s="4">
        <f>IF($AD15=AK$1,$W15)</f>
        <v/>
      </c>
      <c r="AL15" s="4">
        <f>IF($AD15=AL$1,$W15)</f>
        <v/>
      </c>
      <c r="AM15" s="4">
        <f>IF($AD15=AM$1,$W15)</f>
        <v/>
      </c>
    </row>
    <row r="16" ht="15" customHeight="1">
      <c r="A16" s="28">
        <f>UPPER(LEFT(I16, 3))</f>
        <v/>
      </c>
      <c r="B16" s="29" t="inlineStr">
        <is>
          <t>2026-08-24</t>
        </is>
      </c>
      <c r="C16" s="11" t="inlineStr">
        <is>
          <t>REQ0526341</t>
        </is>
      </c>
      <c r="D16" s="11" t="inlineStr">
        <is>
          <t>SCTASK0744373</t>
        </is>
      </c>
      <c r="E16" s="11" t="n"/>
      <c r="F16" s="11" t="n">
        <v>0</v>
      </c>
      <c r="G16" s="11" t="inlineStr">
        <is>
          <t>INTERFACE</t>
        </is>
      </c>
      <c r="H16" s="33" t="inlineStr">
        <is>
          <t>NOVO DESENVOLVIMENTO</t>
        </is>
      </c>
      <c r="I16" s="32" t="inlineStr">
        <is>
          <t>ensemble@thyssenkruppelevadores.com.br</t>
        </is>
      </c>
      <c r="J16" s="33" t="inlineStr">
        <is>
          <t>Giovani Perotto Mesquita</t>
        </is>
      </c>
      <c r="K16" s="11">
        <f>_xlfn.XLOOKUP(Planilha!$J16,Tabela9[Pessoas],Tabela9[UUID Jira])</f>
        <v/>
      </c>
      <c r="L16" s="33" t="inlineStr">
        <is>
          <t>Luiz Felipe Brandão da Silva</t>
        </is>
      </c>
      <c r="M16" s="11">
        <f>_xlfn.XLOOKUP(Planilha!$L16,Tabela9[Pessoas],Tabela9[UUID Jira])</f>
        <v/>
      </c>
      <c r="N16" s="11" t="inlineStr">
        <is>
          <t>Criar um fluxo de dados para capturar as informações de DOT.CALCULO provenientes do Dossiê Técnico</t>
        </is>
      </c>
      <c r="O16" s="11" t="inlineStr">
        <is>
          <t>Criar um fluxo de dados para capturar as informações de DOT.CALCULO provenientes do Dossiê Técnico</t>
        </is>
      </c>
      <c r="P16" s="11" t="inlineStr">
        <is>
          <t>Criar um fluxo de dados para capturar as informações de DOT.CALCULO provenientes do Dossiê Técnico</t>
        </is>
      </c>
      <c r="Q16" s="11" t="inlineStr">
        <is>
          <t>Implementação</t>
        </is>
      </c>
      <c r="R16" s="37" t="inlineStr">
        <is>
          <t>🧾 Definição da Necessidade
Criar um fluxo de dados para capturar as informações de DOT.CALCULO provenientes do Dossiê Técnico, persistindo os dados transitados no IRIS por meio de uma tabela federada, viabilizando a disponibilidade e rastreabilidade das informações para consumo futuro.
 Fonte: SCTASK0744373
🧑‍💼 Contato
PO: Robson Portella
📖 Título da User Story
Como responsável pelo consumo de informações do Dossiê Técnico, quero que os dados de DOT.CALCULO sejam persistidos em uma tabela federada no IRIS, para que as informações transitadas possam ser armazenadas e disponibilizadas de forma estruturada para utilização posterior.
📊 Priorização
Prioridade: Alta
Justificativa:
Valor de negócio: Permite a disponibilização estruturada dos dados do Dossiê Técnico.
Impacto: Cria a base necessária para consultas e integrações futuras.
Urgência: Existe uma solicitação explícita para implementação do fluxo de persistência.
Dependências: A persistência em tabela federada é pré-requisito para qualquer consumo analítico ou operacional destes dados.
🔍 Processo Atual (AS IS)
Os dados de DOT.CALCULO transitam pelo processo do Dossiê Técnico, porém não existe uma persistência das informações em uma tabela federada dentro do IRIS.
🚀 Processo Futuro (TO BE)
Os dados de DOT.CALCULO serão capturados durante sua transitação no processo do Dossiê Técnico e persistidos automaticamente em uma tabela federada no IRIS, permitindo sua consulta e utilização por consumidores autorizados.
🎯 Objetivo da Mudança
Implementar um mecanismo de persistência dos dados DOT.CALCULO em uma tabela federada no IRIS, garantindo armazenamento estruturado das informações transitadas e disponibilidade para usos futuros.
❌ Fora de Escopo
Criação de dashboards ou relatórios.
Desenvolvimento de consultas analíticas.
Alterações na origem dos dados do Dossiê Técnico.
Mudanças em sistemas consumidores.
Processamento ou transformação de dados não relacionados ao objeto DOT.CALCULO.
✅ Critérios de Aceite (BDD)
Cenário 1: Persistir dados recebidos
Dado que existam informações de DOT.CALCULO transitando pelo processo do Dossiê Técnico
 Quando o fluxo de captura for executado
 Então os dados deverão ser persistidos em uma tabela federada no IRIS.
Cenário 2: Disponibilizar dados persistidos
Dado que registros tenham sido persistidos na tabela federada
 Quando a tabela for consultada
 Então os registros armazenados deverão estar disponíveis para consulta.
Cenário 3: Integridade da persistência
Dado que informações de DOT.CALCULO sejam processadas
 Quando a gravação ocorrer na tabela federada
 Então os dados persistidos deverão corresponder aos dados recebidos pelo fluxo.
🧪 Cenários de Teste de Validação
Cenário 1: Persistência de registro válido
Pré-condições
Fluxo implantado.
Existência de dados de DOT.CALCULO para processamento.
Passos
Enviar um registro contendo informações de DOT.CALCULO.
Aguardar o processamento do fluxo.
Consultar a tabela federada.
Resultado Esperado
O registro é encontrado na tabela federada do IRIS.
Cenário 2: Persistência de múltiplos registros
Pré-condições
Fluxo operacional.
Passos
Processar múltiplos registros DOT.CALCULO.
Consultar a tabela federada.
Resultado Esperado
Todos os registros processados encontram-se armazenados.
Cenário 3: Disponibilidade para consulta
Pré-condições
Existência de registros persistidos.
Passos
Realizar consulta na tabela federada.
Verificar retorno dos registros.
Resultado Esperado
Os dados persistidos são retornados corretamente.
❌ Cenários de Teste de Rejeição
Cenário 1: Falha na persistência
Pré-condições
Fluxo executando.
Passos
Processar um registro DOT.CALCULO.
Consultar a tabela federada.
Resultado Esperado
O teste falha caso o registro não seja encontrado na tabela.
Cenário 2: Divergência de informações
Pré-condições
Registro processado.
Passos
Comparar os dados recebidos com os dados gravados.
Validar integridade das informações.
Resultado Esperado
O teste falha caso existam divergências entre origem e persistência.
🔄 Cenários de Teste de Regressão
Cenário 1: Continuidade do fluxo atual
Pré-condições
Processo existente em funcionamento.
Passos
Executar o processamento normal do Dossiê Técnico.
Monitorar comportamento da integração.
Resultado Esperado
O fluxo original permanece operacional sem impactos.
Cenário 2: Persistência sem interferência
Pré-condições
Fluxo implantado.
Passos
Processar registros normalmente.
Validar a persistência.
Validar a continuidade do processamento.
Resultado Esperado
A gravação na tabela federada não afeta o fluxo de origem.
🧭 Sugestão de Cutover
Comunicação
Informar equipes consumidoras sobre a disponibilização da nova estrutura de persistência.
Implantação
Publicar o fluxo de captura e persistência em ambiente produtivo.
Testes em Produção
Executar processamento controlado de registros DOT.CALCULO.
Validar a gravação na tabela federada.
Monitoramento Inicial
Acompanhar o volume de registros persistidos.
Verificar possíveis falhas de gravação após a entrada em produção.
📈 Score (GUT)
Critério	NotaGravidade	4
Urgência	4
Tendência	4
GUT = 64
Justificativa
A persistência dos dados é necessária para garantir disponibilidade e rastreabilidade das informações do Dossiê Técnico. A ausência dessa estrutura pode limitar futuras consultas e integrações, justificando uma classificação elevada, embora não crítica.</t>
        </is>
      </c>
      <c r="S16" s="10" t="n">
        <v>8</v>
      </c>
      <c r="T16" s="11">
        <f>_xlfn.XLOOKUP(S16,Tabela4[Horas],Tabela4[Pontos],,1)</f>
        <v/>
      </c>
      <c r="U16" s="11" t="inlineStr">
        <is>
          <t>ENS-10673</t>
        </is>
      </c>
      <c r="V16" s="11" t="inlineStr">
        <is>
          <t>ENS-10869</t>
        </is>
      </c>
      <c r="W16" s="11" t="inlineStr">
        <is>
          <t>ENS-10870</t>
        </is>
      </c>
      <c r="X16" s="43" t="n"/>
      <c r="Y16" s="44">
        <f>HYPERLINK("https://tkebrasil.atlassian.net/browse/" &amp; U16,U16)</f>
        <v/>
      </c>
      <c r="Z16" s="44">
        <f>HYPERLINK("https://tkebrasil.atlassian.net/browse/" &amp; V16,V16)</f>
        <v/>
      </c>
      <c r="AA16" s="44">
        <f>HYPERLINK("https://tkebrasil.atlassian.net/browse/" &amp; W16,W16)</f>
        <v/>
      </c>
      <c r="AB16" s="43" t="n"/>
      <c r="AC16" s="38" t="inlineStr">
        <is>
          <t>X</t>
        </is>
      </c>
      <c r="AD16" s="38" t="inlineStr">
        <is>
          <t>BL</t>
        </is>
      </c>
      <c r="AE16" s="4">
        <f>IF($AD16=AE$1,$U16)</f>
        <v/>
      </c>
      <c r="AF16" s="4">
        <f>IF($AD16=AF$1,$U16)</f>
        <v/>
      </c>
      <c r="AG16" s="4">
        <f>IF($AD16=AG$1,$U16)</f>
        <v/>
      </c>
      <c r="AH16" s="4">
        <f>IF($AD16=AH$1,$V16)</f>
        <v/>
      </c>
      <c r="AI16" s="4">
        <f>IF($AD16=AI$1,$V16)</f>
        <v/>
      </c>
      <c r="AJ16" s="4">
        <f>IF($AD16=AJ$1,$V16)</f>
        <v/>
      </c>
      <c r="AK16" s="4">
        <f>IF($AD16=AK$1,$W16)</f>
        <v/>
      </c>
      <c r="AL16" s="4">
        <f>IF($AD16=AL$1,$W16)</f>
        <v/>
      </c>
      <c r="AM16" s="4">
        <f>IF($AD16=AM$1,$W16)</f>
        <v/>
      </c>
    </row>
    <row r="17" ht="15" customHeight="1">
      <c r="A17" s="28">
        <f>UPPER(LEFT(I17, 3))</f>
        <v/>
      </c>
      <c r="B17" s="29" t="inlineStr">
        <is>
          <t>2026-08-24</t>
        </is>
      </c>
      <c r="C17" s="11" t="n">
        <v>0</v>
      </c>
      <c r="D17" s="11" t="n">
        <v>0</v>
      </c>
      <c r="E17" s="11" t="n"/>
      <c r="F17" s="11" t="n">
        <v>0</v>
      </c>
      <c r="G17" s="11" t="inlineStr">
        <is>
          <t>INTERFACE</t>
        </is>
      </c>
      <c r="H17" s="33" t="inlineStr">
        <is>
          <t>NOVO DESENVOLVIMENTO</t>
        </is>
      </c>
      <c r="I17" s="32" t="inlineStr">
        <is>
          <t>ensemble@thyssenkruppelevadores.com.br</t>
        </is>
      </c>
      <c r="J17" s="33" t="inlineStr">
        <is>
          <t>Giovani Perotto Mesquita</t>
        </is>
      </c>
      <c r="K17" s="11">
        <f>_xlfn.XLOOKUP(Planilha!$J17,Tabela9[Pessoas],Tabela9[UUID Jira])</f>
        <v/>
      </c>
      <c r="L17" s="33" t="inlineStr">
        <is>
          <t>Regina Albanus</t>
        </is>
      </c>
      <c r="M17" s="11">
        <f>_xlfn.XLOOKUP(Planilha!$L17,Tabela9[Pessoas],Tabela9[UUID Jira])</f>
        <v/>
      </c>
      <c r="N17" s="11" t="inlineStr">
        <is>
          <t>Criar dashboard de negócios do IRIS</t>
        </is>
      </c>
      <c r="O17" s="11" t="inlineStr">
        <is>
          <t>Criar dashboard de negócios do IRIS</t>
        </is>
      </c>
      <c r="P17" s="11" t="inlineStr">
        <is>
          <t>Criar dashboard de negócios do IRIS</t>
        </is>
      </c>
      <c r="Q17" s="11" t="inlineStr">
        <is>
          <t>Implementação</t>
        </is>
      </c>
      <c r="R17" s="37" t="inlineStr">
        <is>
          <t>Ver DoR</t>
        </is>
      </c>
      <c r="S17" s="10" t="n">
        <v>2</v>
      </c>
      <c r="T17" s="11">
        <f>_xlfn.XLOOKUP(S17,Tabela4[Horas],Tabela4[Pontos],,1)</f>
        <v/>
      </c>
      <c r="U17" s="11" t="inlineStr">
        <is>
          <t>ENS-10676</t>
        </is>
      </c>
      <c r="V17" s="11" t="inlineStr">
        <is>
          <t>ENS-10871</t>
        </is>
      </c>
      <c r="W17" s="11" t="inlineStr">
        <is>
          <t>ENS-10872</t>
        </is>
      </c>
      <c r="X17" s="43" t="n"/>
      <c r="Y17" s="44">
        <f>HYPERLINK("https://tkebrasil.atlassian.net/browse/" &amp; U17,U17)</f>
        <v/>
      </c>
      <c r="Z17" s="44">
        <f>HYPERLINK("https://tkebrasil.atlassian.net/browse/" &amp; V17,V17)</f>
        <v/>
      </c>
      <c r="AA17" s="44">
        <f>HYPERLINK("https://tkebrasil.atlassian.net/browse/" &amp; W17,W17)</f>
        <v/>
      </c>
      <c r="AB17" s="43" t="n"/>
      <c r="AC17" s="38" t="inlineStr">
        <is>
          <t>X</t>
        </is>
      </c>
      <c r="AD17" s="38" t="inlineStr">
        <is>
          <t>BL</t>
        </is>
      </c>
      <c r="AE17" s="4">
        <f>IF($AD17=AE$1,$U17)</f>
        <v/>
      </c>
      <c r="AF17" s="4">
        <f>IF($AD17=AF$1,$U17)</f>
        <v/>
      </c>
      <c r="AG17" s="4">
        <f>IF($AD17=AG$1,$U17)</f>
        <v/>
      </c>
      <c r="AH17" s="4">
        <f>IF($AD17=AH$1,$V17)</f>
        <v/>
      </c>
      <c r="AI17" s="4">
        <f>IF($AD17=AI$1,$V17)</f>
        <v/>
      </c>
      <c r="AJ17" s="4">
        <f>IF($AD17=AJ$1,$V17)</f>
        <v/>
      </c>
      <c r="AK17" s="4">
        <f>IF($AD17=AK$1,$W17)</f>
        <v/>
      </c>
      <c r="AL17" s="4">
        <f>IF($AD17=AL$1,$W17)</f>
        <v/>
      </c>
      <c r="AM17" s="4">
        <f>IF($AD17=AM$1,$W17)</f>
        <v/>
      </c>
    </row>
    <row r="18" ht="15" customHeight="1">
      <c r="A18" s="28">
        <f>UPPER(LEFT(I18, 3))</f>
        <v/>
      </c>
      <c r="B18" s="29" t="inlineStr">
        <is>
          <t>2026-08-24</t>
        </is>
      </c>
      <c r="C18" s="11" t="inlineStr">
        <is>
          <t>REQ0525598</t>
        </is>
      </c>
      <c r="D18" s="11" t="inlineStr">
        <is>
          <t>SCTASK0730907</t>
        </is>
      </c>
      <c r="E18" s="11" t="n"/>
      <c r="F18" s="11" t="n">
        <v>0</v>
      </c>
      <c r="G18" s="11" t="inlineStr">
        <is>
          <t>INTERFACE</t>
        </is>
      </c>
      <c r="H18" s="33" t="inlineStr">
        <is>
          <t>NOVO DESENVOLVIMENTO</t>
        </is>
      </c>
      <c r="I18" s="32" t="inlineStr">
        <is>
          <t>ensemble@thyssenkruppelevadores.com.br</t>
        </is>
      </c>
      <c r="J18" s="33" t="inlineStr">
        <is>
          <t>Giovani Perotto Mesquita</t>
        </is>
      </c>
      <c r="K18" s="11">
        <f>_xlfn.XLOOKUP(Planilha!$J18,Tabela9[Pessoas],Tabela9[UUID Jira])</f>
        <v/>
      </c>
      <c r="L18" s="11" t="inlineStr">
        <is>
          <t>Pablo Rocha</t>
        </is>
      </c>
      <c r="M18" s="11">
        <f>_xlfn.XLOOKUP(Planilha!$L18,Tabela9[Pessoas],Tabela9[UUID Jira])</f>
        <v/>
      </c>
      <c r="N18" s="11" t="inlineStr">
        <is>
          <t>Criar e parametrizar IOT Dynamox</t>
        </is>
      </c>
      <c r="O18" s="11" t="inlineStr">
        <is>
          <t>Criar e parametrizar IOT Dynamox</t>
        </is>
      </c>
      <c r="P18" s="11" t="inlineStr">
        <is>
          <t>Criar e parametrizar IOT Dynamox</t>
        </is>
      </c>
      <c r="Q18" s="33" t="inlineStr">
        <is>
          <t>Execução de Testes</t>
        </is>
      </c>
      <c r="R18" s="11" t="inlineStr">
        <is>
          <t>Criar e parametrizar IOT Dynamox</t>
        </is>
      </c>
      <c r="S18" s="10" t="n">
        <v>4</v>
      </c>
      <c r="T18" s="11">
        <f>_xlfn.XLOOKUP(S18,Tabela4[Horas],Tabela4[Pontos],,1)</f>
        <v/>
      </c>
      <c r="U18" s="11" t="inlineStr">
        <is>
          <t>ENS-10380</t>
        </is>
      </c>
      <c r="V18" s="11" t="inlineStr">
        <is>
          <t>ENS-10873</t>
        </is>
      </c>
      <c r="W18" s="11" t="inlineStr">
        <is>
          <t>ENS-10874</t>
        </is>
      </c>
      <c r="X18" s="43" t="n"/>
      <c r="Y18" s="44">
        <f>HYPERLINK("https://tkebrasil.atlassian.net/browse/" &amp; U18,U18)</f>
        <v/>
      </c>
      <c r="Z18" s="44">
        <f>HYPERLINK("https://tkebrasil.atlassian.net/browse/" &amp; V18,V18)</f>
        <v/>
      </c>
      <c r="AA18" s="44">
        <f>HYPERLINK("https://tkebrasil.atlassian.net/browse/" &amp; W18,W18)</f>
        <v/>
      </c>
      <c r="AB18" s="43" t="n"/>
      <c r="AC18" s="38" t="inlineStr">
        <is>
          <t>X</t>
        </is>
      </c>
      <c r="AD18" s="38" t="inlineStr">
        <is>
          <t>BL</t>
        </is>
      </c>
      <c r="AE18" s="4">
        <f>IF($AD18=AE$1,$U18)</f>
        <v/>
      </c>
      <c r="AF18" s="4">
        <f>IF($AD18=AF$1,$U18)</f>
        <v/>
      </c>
      <c r="AG18" s="4">
        <f>IF($AD18=AG$1,$U18)</f>
        <v/>
      </c>
      <c r="AH18" s="4">
        <f>IF($AD18=AH$1,$V18)</f>
        <v/>
      </c>
      <c r="AI18" s="4">
        <f>IF($AD18=AI$1,$V18)</f>
        <v/>
      </c>
      <c r="AJ18" s="4">
        <f>IF($AD18=AJ$1,$V18)</f>
        <v/>
      </c>
      <c r="AK18" s="4">
        <f>IF($AD18=AK$1,$W18)</f>
        <v/>
      </c>
      <c r="AL18" s="4">
        <f>IF($AD18=AL$1,$W18)</f>
        <v/>
      </c>
      <c r="AM18" s="4">
        <f>IF($AD18=AM$1,$W18)</f>
        <v/>
      </c>
    </row>
    <row r="19" ht="15" customHeight="1">
      <c r="A19" s="28">
        <f>UPPER(LEFT(I19, 3))</f>
        <v/>
      </c>
      <c r="B19" s="29" t="inlineStr">
        <is>
          <t>2026-08-24</t>
        </is>
      </c>
      <c r="C19" s="11" t="inlineStr">
        <is>
          <t>REQ0305661</t>
        </is>
      </c>
      <c r="D19" s="11" t="inlineStr">
        <is>
          <t>SCTASK0489536</t>
        </is>
      </c>
      <c r="E19" s="11" t="n"/>
      <c r="F19" s="11" t="n">
        <v>0</v>
      </c>
      <c r="G19" s="11" t="inlineStr">
        <is>
          <t>INTERFACE</t>
        </is>
      </c>
      <c r="H19" s="33" t="inlineStr">
        <is>
          <t>NOVO DESENVOLVIMENTO</t>
        </is>
      </c>
      <c r="I19" s="32" t="inlineStr">
        <is>
          <t>ensemble@thyssenkruppelevadores.com.br</t>
        </is>
      </c>
      <c r="J19" s="33" t="inlineStr">
        <is>
          <t>Giovani Perotto Mesquita</t>
        </is>
      </c>
      <c r="K19" s="11">
        <f>_xlfn.XLOOKUP(Planilha!$J19,Tabela9[Pessoas],Tabela9[UUID Jira])</f>
        <v/>
      </c>
      <c r="L19" s="33" t="inlineStr">
        <is>
          <t>Regina Albanus</t>
        </is>
      </c>
      <c r="M19" s="11">
        <f>_xlfn.XLOOKUP(Planilha!$L19,Tabela9[Pessoas],Tabela9[UUID Jira])</f>
        <v/>
      </c>
      <c r="N19" s="11" t="inlineStr">
        <is>
          <t>Implementar a correção da informação apresentada na coluna Centro de Distribuição no relatório Mapa de Fabricação/Expedição do AIT</t>
        </is>
      </c>
      <c r="O19" s="11" t="inlineStr">
        <is>
          <t>Implementar a correção da informação apresentada na coluna Centro de Distribuição no relatório Mapa de Fabricação/Expedição do AIT</t>
        </is>
      </c>
      <c r="P19" s="48" t="inlineStr">
        <is>
          <t>Implementar a correção da informação apresentada na coluna Centro de Distribuição no relatório Mapa de Fabricação/Expedição do AIT</t>
        </is>
      </c>
      <c r="Q19" s="11" t="inlineStr">
        <is>
          <t>Análise Técnica</t>
        </is>
      </c>
      <c r="R19" s="37" t="inlineStr">
        <is>
          <t>🧾 Requisito Definido
Implementar a correção da informação apresentada na coluna Centro de Distribuição no relatório Mapa de Fabricação/Expedição do AIT, conforme necessidade identificada após alteração de lógica realizada no GUS, garantindo consistência das informações apresentadas aos usuários.
🧑‍💼 Contato
Izabel Zanotelli Haas
Rafael Villar Dornelles
Rayanne Rosa dos Santos
Tiago Fogaça
📖 Título da User Story
Como usuário do relatório Mapa de Fabricação/Expedição, quero visualizar corretamente a informação da coluna Centro de Distribuição, para que os dados operacionais reflitam a lógica atual do negócio e possam ser utilizados com segurança na tomada de decisão.
📊 Priorização
Prioridade: Alta
Justificativa
Impacta a confiabilidade dos dados apresentados aos usuários.
Existe histórico de incidentes relacionados à divergência da informação.
A correção depende de alinhamento entre sistemas integrados (GUS e AIT).
Afeta a consistência das informações utilizadas nos processos operacionais.
🔍 Processo Atual (AS IS)
Foi identificada divergência na coluna "Centro de Distribuição".
A lógica de negócio foi alterada no GUS sem comunicação prévia ao AIT.
Um incidente foi aberto para tratar a divergência, porém foi cancelado por se tratar de uma alteração de negócio.
Existe uma alteração anterior relacionada à inclusão de novas colunas que foi desenvolvida em QA, porém nunca validada e será descartada.
🚀 Processo Futuro (TO BE)
O relatório Mapa de Fabricação/Expedição deverá apresentar corretamente a informação da coluna Centro de Distribuição.
A regra implementada deverá refletir a lógica atual utilizada pelo GUS.
A solução será tratada por meio de solicitação formal de alteração no fluxo do AIT.
Alterações não validadas anteriormente serão descartadas para evitar inconsistências no ambiente.
🎯 Objetivo da Mudança
Garantir a consistência das informações do relatório Mapa de Fabricação/Expedição, eliminando divergências entre os sistemas envolvidos e aumentando a confiabilidade dos dados utilizados pelas áreas de negócio.
❌ Fora de Escopo
Inclusão das duas novas colunas desenvolvidas anteriormente para o incidente 779404.
Novos desenvolvimentos não relacionados à correção da coluna Centro de Distribuição.
Alterações em processos não citados no documento.
Evoluções funcionais em SAP, GUS ou IRIS além das explicitamente mencionadas.
✅ Critérios de Aceite (BDD)
Cenário 1: Exibição correta da coluna Centro de Distribuição
Dado que o usuário acessa o relatório Mapa de Fabricação/Expedição
Quando consultar registros que possuam informação de Centro de Distribuição
Então o valor exibido deverá refletir a regra de negócio vigente
Cenário 2: Consistência dos dados
Dado que existe integração de informações entre sistemas
Quando os dados forem apresentados no relatório
Então a informação de Centro de Distribuição deverá estar consistente com a origem definida pela regra de negócio
Cenário 3: Descarte das alterações não aprovadas
Dado que existem alterações desenvolvidas em QA referentes ao incidente 779404
Quando a entrega for promovida
Então as alterações não validadas deverão permanecer descartadas
🧪 Cenários de Teste de Validação
Cenário 1
Pré-condições
Ambiente disponível para testes.
Registros com Centro de Distribuição cadastrados.
Passos
Acessar o relatório.
Realizar consulta de registros.
Validar a informação apresentada.
Resultado Esperado
Valor exibido corretamente conforme a regra de negócio vigente.
Cenário 2
Pré-condições
Dados disponíveis no sistema de origem.
Passos
Comparar informação da origem com o relatório.
Validar registros amostrais.
Resultado Esperado
Não existir divergência entre origem e relatório.
Cenário 3
Pré-condições
Ambiente QA contendo histórico das alterações descartadas.
Passos
Validar estrutura do relatório.
Verificar se as colunas descartadas não foram promovidas.
Resultado Esperado
As colunas descartadas permanecem ausentes da solução final.
❌ Cenários de Teste de Rejeição
Cenário 1
Quando a coluna Centro de Distribuição apresentar valor divergente da regra definida
Então a implementação deverá ser rejeitada.
Cenário 2
Quando as colunas descartadas do incidente 779404 forem disponibilizadas novamente
Então a implementação deverá ser rejeitada.
Cenário 3
Quando a correção impactar negativamente a visualização de outros dados do relatório
Então a implementação deverá ser rejeitada.
🔄 Cenários de Teste de Regressão
Cenário 1
Validar a execução normal do relatório Mapa de Fabricação/Expedição.
Cenário 2
Validar exportação para Excel sem perda de informações.
Cenário 3
Validar filtros existentes do relatório.
Cenário 4
Validar carregamento e consulta dos demais campos do relatório.
Cenário 5
Validar que não houve impacto em integrações já existentes entre os sistemas envolvidos.
🧭 Sugestão de Cutover
Comunicação
Informar usuários sobre a correção realizada no relatório.
Governança
Registrar a alteração por meio do fluxo formal de solicitação.
Validação
Executar testes integrados e validação com usuários-chave.
Produção
Publicar a correção após aprovação dos testes.
Pós-implantação
Monitorar consultas realizadas no relatório e registrar eventuais divergências identificadas.
📈 Score (GUT)
Critério	NotaGravidade	4
Urgência	4
Tendência	4
Resultado GUT
64 (4 × 4 × 4)
Classificação
Alta Prioridade
Justificativa: a divergência afeta a confiabilidade das informações de negócio, já gerou incidentes anteriormente e tende a continuar gerando retrabalho e inconsistências caso não seja corrigida.</t>
        </is>
      </c>
      <c r="S19" s="10" t="n">
        <v>6</v>
      </c>
      <c r="T19" s="11">
        <f>_xlfn.XLOOKUP(S19,Tabela4[Horas],Tabela4[Pontos],,1)</f>
        <v/>
      </c>
      <c r="U19" s="11" t="inlineStr">
        <is>
          <t>ENS-10762</t>
        </is>
      </c>
      <c r="V19" s="11" t="inlineStr">
        <is>
          <t>ENS-10875</t>
        </is>
      </c>
      <c r="W19" s="11" t="inlineStr">
        <is>
          <t>ENS-10876</t>
        </is>
      </c>
      <c r="X19" s="43" t="n"/>
      <c r="Y19" s="44">
        <f>HYPERLINK("https://tkebrasil.atlassian.net/browse/" &amp; U19,U19)</f>
        <v/>
      </c>
      <c r="Z19" s="44">
        <f>HYPERLINK("https://tkebrasil.atlassian.net/browse/" &amp; V19,V19)</f>
        <v/>
      </c>
      <c r="AA19" s="44">
        <f>HYPERLINK("https://tkebrasil.atlassian.net/browse/" &amp; W19,W19)</f>
        <v/>
      </c>
      <c r="AB19" s="43" t="n"/>
      <c r="AC19" s="45" t="inlineStr">
        <is>
          <t>X</t>
        </is>
      </c>
      <c r="AD19" s="45" t="inlineStr">
        <is>
          <t>BL</t>
        </is>
      </c>
      <c r="AE19" s="4">
        <f>IF($AD19=AE$1,$U19)</f>
        <v/>
      </c>
      <c r="AF19" s="4">
        <f>IF($AD19=AF$1,$U19)</f>
        <v/>
      </c>
      <c r="AG19" s="4">
        <f>IF($AD19=AG$1,$U19)</f>
        <v/>
      </c>
      <c r="AH19" s="4">
        <f>IF($AD19=AH$1,$V19)</f>
        <v/>
      </c>
      <c r="AI19" s="4">
        <f>IF($AD19=AI$1,$V19)</f>
        <v/>
      </c>
      <c r="AJ19" s="4">
        <f>IF($AD19=AJ$1,$V19)</f>
        <v/>
      </c>
      <c r="AK19" s="4">
        <f>IF($AD19=AK$1,$W19)</f>
        <v/>
      </c>
      <c r="AL19" s="4">
        <f>IF($AD19=AL$1,$W19)</f>
        <v/>
      </c>
      <c r="AM19" s="4">
        <f>IF($AD19=AM$1,$W19)</f>
        <v/>
      </c>
    </row>
    <row r="20" ht="15" customHeight="1">
      <c r="A20" s="28" t="inlineStr">
        <is>
          <t>ENS</t>
        </is>
      </c>
      <c r="B20" s="29" t="inlineStr">
        <is>
          <t>2026-08-24</t>
        </is>
      </c>
      <c r="C20" s="11" t="n">
        <v>0</v>
      </c>
      <c r="D20" s="11" t="n">
        <v>0</v>
      </c>
      <c r="E20" s="36" t="n"/>
      <c r="F20" s="36" t="n">
        <v>0</v>
      </c>
      <c r="G20" s="11" t="inlineStr">
        <is>
          <t>INTERFACE</t>
        </is>
      </c>
      <c r="H20" s="33" t="inlineStr">
        <is>
          <t>ALTERAÇÃO</t>
        </is>
      </c>
      <c r="I20" s="32" t="inlineStr">
        <is>
          <t>ensemble@thyssenkruppelevadores.com.br</t>
        </is>
      </c>
      <c r="J20" s="33" t="inlineStr">
        <is>
          <t>Giovani Perotto Mesquita</t>
        </is>
      </c>
      <c r="K20" s="11">
        <f>_xlfn.XLOOKUP(Planilha!$J20,Tabela9[Pessoas],Tabela9[UUID Jira])</f>
        <v/>
      </c>
      <c r="L20" s="41" t="inlineStr">
        <is>
          <t>Pablo Rocha</t>
        </is>
      </c>
      <c r="M20" s="11">
        <f>_xlfn.XLOOKUP(Planilha!$L20,Tabela9[Pessoas],Tabela9[UUID Jira])</f>
        <v/>
      </c>
      <c r="N20" s="11" t="inlineStr">
        <is>
          <t>VS Code</t>
        </is>
      </c>
      <c r="O20" s="11" t="inlineStr">
        <is>
          <t>VS Code</t>
        </is>
      </c>
      <c r="P20" s="11" t="inlineStr">
        <is>
          <t>VS Code 1</t>
        </is>
      </c>
      <c r="Q20" s="11" t="inlineStr">
        <is>
          <t>Implementação</t>
        </is>
      </c>
      <c r="R20" s="11" t="inlineStr">
        <is>
          <t>Analisar de depreciação de interfaces</t>
        </is>
      </c>
      <c r="S20" s="34" t="n">
        <v>8</v>
      </c>
      <c r="T20" s="11">
        <f>_xlfn.XLOOKUP(S20,Tabela4[Horas],Tabela4[Pontos],,1)</f>
        <v/>
      </c>
      <c r="U20" s="11" t="inlineStr">
        <is>
          <t>ENS-10877</t>
        </is>
      </c>
      <c r="V20" s="11" t="inlineStr">
        <is>
          <t>ENS-10878</t>
        </is>
      </c>
      <c r="W20" s="11" t="inlineStr">
        <is>
          <t>ENS-10879</t>
        </is>
      </c>
      <c r="X20" s="46" t="n"/>
      <c r="Y20" s="44">
        <f>HYPERLINK("https://tkebrasil.atlassian.net/browse/" &amp; U20,U20)</f>
        <v/>
      </c>
      <c r="Z20" s="44">
        <f>HYPERLINK("https://tkebrasil.atlassian.net/browse/" &amp; V20,V20)</f>
        <v/>
      </c>
      <c r="AA20" s="44">
        <f>HYPERLINK("https://tkebrasil.atlassian.net/browse/" &amp; W20,W20)</f>
        <v/>
      </c>
      <c r="AB20" s="46" t="n"/>
      <c r="AC20" s="47" t="inlineStr">
        <is>
          <t>X</t>
        </is>
      </c>
      <c r="AD20" s="47" t="inlineStr">
        <is>
          <t>BL</t>
        </is>
      </c>
      <c r="AE20" s="4">
        <f>IF($AD20=AE$1,$U20)</f>
        <v/>
      </c>
      <c r="AF20" s="4">
        <f>IF($AD20=AF$1,$U20)</f>
        <v/>
      </c>
      <c r="AG20" s="4">
        <f>IF($AD20=AG$1,$U20)</f>
        <v/>
      </c>
      <c r="AH20" s="4">
        <f>IF($AD20=AH$1,$V20)</f>
        <v/>
      </c>
      <c r="AI20" s="4">
        <f>IF($AD20=AI$1,$V20)</f>
        <v/>
      </c>
      <c r="AJ20" s="4">
        <f>IF($AD20=AJ$1,$V20)</f>
        <v/>
      </c>
      <c r="AK20" s="4">
        <f>IF($AD20=AK$1,$W20)</f>
        <v/>
      </c>
      <c r="AL20" s="4">
        <f>IF($AD20=AL$1,$W20)</f>
        <v/>
      </c>
      <c r="AM20" s="4">
        <f>IF($AD20=AM$1,$W20)</f>
        <v/>
      </c>
    </row>
    <row r="21" ht="15" customHeight="1">
      <c r="A21" s="28" t="inlineStr">
        <is>
          <t>ENS</t>
        </is>
      </c>
      <c r="B21" s="29" t="inlineStr">
        <is>
          <t>2026-08-24</t>
        </is>
      </c>
      <c r="C21" s="11" t="n">
        <v>0</v>
      </c>
      <c r="D21" s="11" t="n">
        <v>0</v>
      </c>
      <c r="E21" s="36" t="n"/>
      <c r="F21" s="36" t="n">
        <v>0</v>
      </c>
      <c r="G21" s="11" t="inlineStr">
        <is>
          <t>INTERFACE</t>
        </is>
      </c>
      <c r="H21" s="33" t="inlineStr">
        <is>
          <t>ALTERAÇÃO</t>
        </is>
      </c>
      <c r="I21" s="32" t="inlineStr">
        <is>
          <t>ensemble@thyssenkruppelevadores.com.br</t>
        </is>
      </c>
      <c r="J21" s="33" t="inlineStr">
        <is>
          <t>Giovani Perotto Mesquita</t>
        </is>
      </c>
      <c r="K21" s="11">
        <f>_xlfn.XLOOKUP(Planilha!$J21,Tabela9[Pessoas],Tabela9[UUID Jira])</f>
        <v/>
      </c>
      <c r="L21" s="41" t="inlineStr">
        <is>
          <t>Luiz Felipe Brandão da Silva</t>
        </is>
      </c>
      <c r="M21" s="11">
        <f>_xlfn.XLOOKUP(Planilha!$L21,Tabela9[Pessoas],Tabela9[UUID Jira])</f>
        <v/>
      </c>
      <c r="N21" s="11" t="inlineStr">
        <is>
          <t>VS Code</t>
        </is>
      </c>
      <c r="O21" s="11" t="inlineStr">
        <is>
          <t>VS Code</t>
        </is>
      </c>
      <c r="P21" s="11" t="inlineStr">
        <is>
          <t>VS Code 2</t>
        </is>
      </c>
      <c r="Q21" s="11" t="inlineStr">
        <is>
          <t>Implementação</t>
        </is>
      </c>
      <c r="R21" s="11" t="inlineStr">
        <is>
          <t>Analisar de depreciação de interfaces</t>
        </is>
      </c>
      <c r="S21" s="34" t="n">
        <v>4</v>
      </c>
      <c r="T21" s="11">
        <f>_xlfn.XLOOKUP(S21,Tabela4[Horas],Tabela4[Pontos],,1)</f>
        <v/>
      </c>
      <c r="U21" s="11" t="inlineStr">
        <is>
          <t>ENS-10877</t>
        </is>
      </c>
      <c r="V21" s="11" t="inlineStr">
        <is>
          <t>ENS-10878</t>
        </is>
      </c>
      <c r="W21" s="11" t="inlineStr">
        <is>
          <t>ENS-10880</t>
        </is>
      </c>
      <c r="X21" s="46" t="n"/>
      <c r="Y21" s="44">
        <f>HYPERLINK("https://tkebrasil.atlassian.net/browse/" &amp; U21,U21)</f>
        <v/>
      </c>
      <c r="Z21" s="44">
        <f>HYPERLINK("https://tkebrasil.atlassian.net/browse/" &amp; V21,V21)</f>
        <v/>
      </c>
      <c r="AA21" s="44">
        <f>HYPERLINK("https://tkebrasil.atlassian.net/browse/" &amp; W21,W21)</f>
        <v/>
      </c>
      <c r="AB21" s="46" t="n"/>
      <c r="AC21" s="47" t="inlineStr">
        <is>
          <t>X</t>
        </is>
      </c>
      <c r="AD21" s="47" t="inlineStr">
        <is>
          <t>BL</t>
        </is>
      </c>
      <c r="AE21" s="4">
        <f>IF($AD21=AE$1,$U21)</f>
        <v/>
      </c>
      <c r="AF21" s="4">
        <f>IF($AD21=AF$1,$U21)</f>
        <v/>
      </c>
      <c r="AG21" s="4">
        <f>IF($AD21=AG$1,$U21)</f>
        <v/>
      </c>
      <c r="AH21" s="4">
        <f>IF($AD21=AH$1,$V21)</f>
        <v/>
      </c>
      <c r="AI21" s="4">
        <f>IF($AD21=AI$1,$V21)</f>
        <v/>
      </c>
      <c r="AJ21" s="4">
        <f>IF($AD21=AJ$1,$V21)</f>
        <v/>
      </c>
      <c r="AK21" s="4">
        <f>IF($AD21=AK$1,$W21)</f>
        <v/>
      </c>
      <c r="AL21" s="4">
        <f>IF($AD21=AL$1,$W21)</f>
        <v/>
      </c>
      <c r="AM21" s="4">
        <f>IF($AD21=AM$1,$W21)</f>
        <v/>
      </c>
    </row>
    <row r="22" ht="15" customHeight="1">
      <c r="A22" s="28" t="inlineStr">
        <is>
          <t>ENS</t>
        </is>
      </c>
      <c r="B22" s="29" t="inlineStr">
        <is>
          <t>2026-08-24</t>
        </is>
      </c>
      <c r="C22" s="11" t="n">
        <v>0</v>
      </c>
      <c r="D22" s="11" t="n">
        <v>0</v>
      </c>
      <c r="E22" s="36" t="n"/>
      <c r="F22" s="36" t="n">
        <v>0</v>
      </c>
      <c r="G22" s="11" t="inlineStr">
        <is>
          <t>INTERFACE</t>
        </is>
      </c>
      <c r="H22" s="33" t="inlineStr">
        <is>
          <t>ALTERAÇÃO</t>
        </is>
      </c>
      <c r="I22" s="32" t="inlineStr">
        <is>
          <t>ensemble@thyssenkruppelevadores.com.br</t>
        </is>
      </c>
      <c r="J22" s="33" t="inlineStr">
        <is>
          <t>Giovani Perotto Mesquita</t>
        </is>
      </c>
      <c r="K22" s="11">
        <f>_xlfn.XLOOKUP(Planilha!$J22,Tabela9[Pessoas],Tabela9[UUID Jira])</f>
        <v/>
      </c>
      <c r="L22" s="41" t="inlineStr">
        <is>
          <t>Regina Albanus</t>
        </is>
      </c>
      <c r="M22" s="11">
        <f>_xlfn.XLOOKUP(Planilha!$L22,Tabela9[Pessoas],Tabela9[UUID Jira])</f>
        <v/>
      </c>
      <c r="N22" s="11" t="inlineStr">
        <is>
          <t>VS Code</t>
        </is>
      </c>
      <c r="O22" s="11" t="inlineStr">
        <is>
          <t>VS Code</t>
        </is>
      </c>
      <c r="P22" s="11" t="inlineStr">
        <is>
          <t>VS Code 3</t>
        </is>
      </c>
      <c r="Q22" s="11" t="inlineStr">
        <is>
          <t>Implementação</t>
        </is>
      </c>
      <c r="R22" s="11" t="inlineStr">
        <is>
          <t>Analisar de depreciação de interfaces</t>
        </is>
      </c>
      <c r="S22" s="34" t="n">
        <v>4</v>
      </c>
      <c r="T22" s="11">
        <f>_xlfn.XLOOKUP(S22,Tabela4[Horas],Tabela4[Pontos],,1)</f>
        <v/>
      </c>
      <c r="U22" s="11" t="inlineStr">
        <is>
          <t>ENS-10877</t>
        </is>
      </c>
      <c r="V22" s="11" t="inlineStr">
        <is>
          <t>ENS-10878</t>
        </is>
      </c>
      <c r="W22" s="11" t="inlineStr">
        <is>
          <t>ENS-10881</t>
        </is>
      </c>
      <c r="X22" s="46" t="n"/>
      <c r="Y22" s="44">
        <f>HYPERLINK("https://tkebrasil.atlassian.net/browse/" &amp; U22,U22)</f>
        <v/>
      </c>
      <c r="Z22" s="44">
        <f>HYPERLINK("https://tkebrasil.atlassian.net/browse/" &amp; V22,V22)</f>
        <v/>
      </c>
      <c r="AA22" s="44">
        <f>HYPERLINK("https://tkebrasil.atlassian.net/browse/" &amp; W22,W22)</f>
        <v/>
      </c>
      <c r="AB22" s="46" t="n"/>
      <c r="AC22" s="47" t="inlineStr">
        <is>
          <t>X</t>
        </is>
      </c>
      <c r="AD22" s="47" t="inlineStr">
        <is>
          <t>BL</t>
        </is>
      </c>
      <c r="AE22" s="4">
        <f>IF($AD22=AE$1,$U22)</f>
        <v/>
      </c>
      <c r="AF22" s="4">
        <f>IF($AD22=AF$1,$U22)</f>
        <v/>
      </c>
      <c r="AG22" s="4">
        <f>IF($AD22=AG$1,$U22)</f>
        <v/>
      </c>
      <c r="AH22" s="4">
        <f>IF($AD22=AH$1,$V22)</f>
        <v/>
      </c>
      <c r="AI22" s="4">
        <f>IF($AD22=AI$1,$V22)</f>
        <v/>
      </c>
      <c r="AJ22" s="4">
        <f>IF($AD22=AJ$1,$V22)</f>
        <v/>
      </c>
      <c r="AK22" s="4">
        <f>IF($AD22=AK$1,$W22)</f>
        <v/>
      </c>
      <c r="AL22" s="4">
        <f>IF($AD22=AL$1,$W22)</f>
        <v/>
      </c>
      <c r="AM22" s="4">
        <f>IF($AD22=AM$1,$W22)</f>
        <v/>
      </c>
    </row>
    <row r="23" ht="15" customHeight="1">
      <c r="A23" s="28" t="inlineStr">
        <is>
          <t>ENS</t>
        </is>
      </c>
      <c r="B23" s="29" t="inlineStr">
        <is>
          <t>2026-08-24</t>
        </is>
      </c>
      <c r="C23" s="11" t="n">
        <v>0</v>
      </c>
      <c r="D23" s="11" t="n">
        <v>0</v>
      </c>
      <c r="E23" s="36" t="n"/>
      <c r="F23" s="36" t="n">
        <v>0</v>
      </c>
      <c r="G23" s="11" t="inlineStr">
        <is>
          <t>INTERFACE</t>
        </is>
      </c>
      <c r="H23" s="33" t="inlineStr">
        <is>
          <t>ALTERAÇÃO</t>
        </is>
      </c>
      <c r="I23" s="32" t="inlineStr">
        <is>
          <t>ensemble@thyssenkruppelevadores.com.br</t>
        </is>
      </c>
      <c r="J23" s="33" t="inlineStr">
        <is>
          <t>Giovani Perotto Mesquita</t>
        </is>
      </c>
      <c r="K23" s="11">
        <f>_xlfn.XLOOKUP(Planilha!$J23,Tabela9[Pessoas],Tabela9[UUID Jira])</f>
        <v/>
      </c>
      <c r="L23" s="41" t="inlineStr">
        <is>
          <t>Luis Henrique Petkovicz</t>
        </is>
      </c>
      <c r="M23" s="11">
        <f>_xlfn.XLOOKUP(Planilha!$L23,Tabela9[Pessoas],Tabela9[UUID Jira])</f>
        <v/>
      </c>
      <c r="N23" s="11" t="inlineStr">
        <is>
          <t>VS Code</t>
        </is>
      </c>
      <c r="O23" s="11" t="inlineStr">
        <is>
          <t>VS Code</t>
        </is>
      </c>
      <c r="P23" s="11" t="inlineStr">
        <is>
          <t>VS Code 4</t>
        </is>
      </c>
      <c r="Q23" s="11" t="inlineStr">
        <is>
          <t>Implementação</t>
        </is>
      </c>
      <c r="R23" s="11" t="inlineStr">
        <is>
          <t>Analisar de depreciação de interfaces</t>
        </is>
      </c>
      <c r="S23" s="34" t="n">
        <v>4</v>
      </c>
      <c r="T23" s="11">
        <f>_xlfn.XLOOKUP(S23,Tabela4[Horas],Tabela4[Pontos],,1)</f>
        <v/>
      </c>
      <c r="U23" s="11" t="inlineStr">
        <is>
          <t>ENS-10877</t>
        </is>
      </c>
      <c r="V23" s="11" t="inlineStr">
        <is>
          <t>ENS-10878</t>
        </is>
      </c>
      <c r="W23" s="11" t="inlineStr">
        <is>
          <t>ENS-10882</t>
        </is>
      </c>
      <c r="X23" s="46" t="n"/>
      <c r="Y23" s="44">
        <f>HYPERLINK("https://tkebrasil.atlassian.net/browse/" &amp; U23,U23)</f>
        <v/>
      </c>
      <c r="Z23" s="44">
        <f>HYPERLINK("https://tkebrasil.atlassian.net/browse/" &amp; V23,V23)</f>
        <v/>
      </c>
      <c r="AA23" s="44">
        <f>HYPERLINK("https://tkebrasil.atlassian.net/browse/" &amp; W23,W23)</f>
        <v/>
      </c>
      <c r="AB23" s="46" t="n"/>
      <c r="AC23" s="47" t="inlineStr">
        <is>
          <t>X</t>
        </is>
      </c>
      <c r="AD23" s="47" t="inlineStr">
        <is>
          <t>BL</t>
        </is>
      </c>
      <c r="AE23" s="4">
        <f>IF($AD23=AE$1,$U23)</f>
        <v/>
      </c>
      <c r="AF23" s="4">
        <f>IF($AD23=AF$1,$U23)</f>
        <v/>
      </c>
      <c r="AG23" s="4">
        <f>IF($AD23=AG$1,$U23)</f>
        <v/>
      </c>
      <c r="AH23" s="4">
        <f>IF($AD23=AH$1,$V23)</f>
        <v/>
      </c>
      <c r="AI23" s="4">
        <f>IF($AD23=AI$1,$V23)</f>
        <v/>
      </c>
      <c r="AJ23" s="4">
        <f>IF($AD23=AJ$1,$V23)</f>
        <v/>
      </c>
      <c r="AK23" s="4">
        <f>IF($AD23=AK$1,$W23)</f>
        <v/>
      </c>
      <c r="AL23" s="4">
        <f>IF($AD23=AL$1,$W23)</f>
        <v/>
      </c>
      <c r="AM23" s="4">
        <f>IF($AD23=AM$1,$W23)</f>
        <v/>
      </c>
    </row>
    <row r="24" ht="15" customHeight="1">
      <c r="A24" s="28" t="inlineStr">
        <is>
          <t>ENS</t>
        </is>
      </c>
      <c r="B24" s="29" t="inlineStr">
        <is>
          <t>2026-08-24</t>
        </is>
      </c>
      <c r="C24" s="11" t="n">
        <v>0</v>
      </c>
      <c r="D24" s="11" t="n">
        <v>0</v>
      </c>
      <c r="E24" s="36" t="n"/>
      <c r="F24" s="36" t="n">
        <v>0</v>
      </c>
      <c r="G24" s="11" t="inlineStr">
        <is>
          <t>INTERFACE</t>
        </is>
      </c>
      <c r="H24" s="33" t="inlineStr">
        <is>
          <t>ALTERAÇÃO</t>
        </is>
      </c>
      <c r="I24" s="32" t="inlineStr">
        <is>
          <t>ensemble@thyssenkruppelevadores.com.br</t>
        </is>
      </c>
      <c r="J24" s="33" t="inlineStr">
        <is>
          <t>Giovani Perotto Mesquita</t>
        </is>
      </c>
      <c r="K24" s="11">
        <f>_xlfn.XLOOKUP(Planilha!$J24,Tabela9[Pessoas],Tabela9[UUID Jira])</f>
        <v/>
      </c>
      <c r="L24" s="41" t="inlineStr">
        <is>
          <t>Luis Henrique Petkovicz</t>
        </is>
      </c>
      <c r="M24" s="11">
        <f>_xlfn.XLOOKUP(Planilha!$L24,Tabela9[Pessoas],Tabela9[UUID Jira])</f>
        <v/>
      </c>
      <c r="N24" s="11" t="inlineStr">
        <is>
          <t>Analisar de depreciação de interfaces</t>
        </is>
      </c>
      <c r="O24" s="11" t="inlineStr">
        <is>
          <t>Analisar de depreciação de interfaces</t>
        </is>
      </c>
      <c r="P24" s="11" t="inlineStr">
        <is>
          <t>Analisar de depreciação de interfaces</t>
        </is>
      </c>
      <c r="Q24" s="11" t="inlineStr">
        <is>
          <t>Implementação</t>
        </is>
      </c>
      <c r="R24" s="11" t="inlineStr">
        <is>
          <t>Analisar de depreciação de interfaces</t>
        </is>
      </c>
      <c r="S24" s="34" t="n">
        <v>4</v>
      </c>
      <c r="T24" s="11">
        <f>_xlfn.XLOOKUP(S24,Tabela4[Horas],Tabela4[Pontos],,1)</f>
        <v/>
      </c>
      <c r="U24" s="11" t="inlineStr">
        <is>
          <t>ENS-10767</t>
        </is>
      </c>
      <c r="V24" s="11" t="inlineStr">
        <is>
          <t>ENS-10883</t>
        </is>
      </c>
      <c r="W24" s="11" t="inlineStr">
        <is>
          <t>ENS-10884</t>
        </is>
      </c>
      <c r="X24" s="46" t="n"/>
      <c r="Y24" s="44">
        <f>HYPERLINK("https://tkebrasil.atlassian.net/browse/" &amp; U24,U24)</f>
        <v/>
      </c>
      <c r="Z24" s="44">
        <f>HYPERLINK("https://tkebrasil.atlassian.net/browse/" &amp; V24,V24)</f>
        <v/>
      </c>
      <c r="AA24" s="44">
        <f>HYPERLINK("https://tkebrasil.atlassian.net/browse/" &amp; W24,W24)</f>
        <v/>
      </c>
      <c r="AB24" s="46" t="n"/>
      <c r="AC24" s="47" t="inlineStr">
        <is>
          <t>X</t>
        </is>
      </c>
      <c r="AD24" s="47" t="inlineStr">
        <is>
          <t>BL</t>
        </is>
      </c>
      <c r="AE24" s="4">
        <f>IF($AD24=AE$1,$U24)</f>
        <v/>
      </c>
      <c r="AF24" s="4">
        <f>IF($AD24=AF$1,$U24)</f>
        <v/>
      </c>
      <c r="AG24" s="4">
        <f>IF($AD24=AG$1,$U24)</f>
        <v/>
      </c>
      <c r="AH24" s="4">
        <f>IF($AD24=AH$1,$V24)</f>
        <v/>
      </c>
      <c r="AI24" s="4">
        <f>IF($AD24=AI$1,$V24)</f>
        <v/>
      </c>
      <c r="AJ24" s="4">
        <f>IF($AD24=AJ$1,$V24)</f>
        <v/>
      </c>
      <c r="AK24" s="4">
        <f>IF($AD24=AK$1,$W24)</f>
        <v/>
      </c>
      <c r="AL24" s="4">
        <f>IF($AD24=AL$1,$W24)</f>
        <v/>
      </c>
      <c r="AM24" s="4">
        <f>IF($AD24=AM$1,$W24)</f>
        <v/>
      </c>
    </row>
    <row r="25" ht="15" customHeight="1">
      <c r="A25" s="28" t="inlineStr">
        <is>
          <t>ENS</t>
        </is>
      </c>
      <c r="B25" s="29" t="inlineStr">
        <is>
          <t>2026-08-24</t>
        </is>
      </c>
      <c r="C25" s="11" t="n">
        <v>0</v>
      </c>
      <c r="D25" s="11" t="n">
        <v>0</v>
      </c>
      <c r="E25" s="36" t="n"/>
      <c r="F25" s="36" t="n">
        <v>0</v>
      </c>
      <c r="G25" s="11" t="inlineStr">
        <is>
          <t>INTERFACE</t>
        </is>
      </c>
      <c r="H25" s="33" t="inlineStr">
        <is>
          <t>ALTERAÇÃO</t>
        </is>
      </c>
      <c r="I25" s="32" t="inlineStr">
        <is>
          <t>ensemble@thyssenkruppelevadores.com.br</t>
        </is>
      </c>
      <c r="J25" s="33" t="inlineStr">
        <is>
          <t>Giovani Perotto Mesquita</t>
        </is>
      </c>
      <c r="K25" s="11">
        <f>_xlfn.XLOOKUP(Planilha!$J25,Tabela9[Pessoas],Tabela9[UUID Jira])</f>
        <v/>
      </c>
      <c r="L25" s="41" t="inlineStr">
        <is>
          <t>Luis Henrique Petkovicz</t>
        </is>
      </c>
      <c r="M25" s="11">
        <f>_xlfn.XLOOKUP(Planilha!$L25,Tabela9[Pessoas],Tabela9[UUID Jira])</f>
        <v/>
      </c>
      <c r="N25" s="11" t="inlineStr">
        <is>
          <t>Epico 1</t>
        </is>
      </c>
      <c r="O25" s="11" t="inlineStr">
        <is>
          <t>Atividade 1</t>
        </is>
      </c>
      <c r="P25" s="11" t="inlineStr">
        <is>
          <t>Tarefa 1</t>
        </is>
      </c>
      <c r="Q25" s="11" t="inlineStr">
        <is>
          <t>Implementação</t>
        </is>
      </c>
      <c r="R25"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5" s="34" t="n">
        <v>2</v>
      </c>
      <c r="T25" s="11">
        <f>_xlfn.XLOOKUP(S25,Tabela4[Horas],Tabela4[Pontos],,1)</f>
        <v/>
      </c>
      <c r="U25" s="11" t="inlineStr">
        <is>
          <t>ENS-10885</t>
        </is>
      </c>
      <c r="V25" s="11" t="inlineStr">
        <is>
          <t>ENS-10886</t>
        </is>
      </c>
      <c r="W25" s="11" t="inlineStr">
        <is>
          <t>ENS-10887</t>
        </is>
      </c>
      <c r="X25" s="46" t="n"/>
      <c r="Y25" s="44">
        <f>HYPERLINK("https://tkebrasil.atlassian.net/browse/" &amp; U25,U25)</f>
        <v/>
      </c>
      <c r="Z25" s="44">
        <f>HYPERLINK("https://tkebrasil.atlassian.net/browse/" &amp; V25,V25)</f>
        <v/>
      </c>
      <c r="AA25" s="44">
        <f>HYPERLINK("https://tkebrasil.atlassian.net/browse/" &amp; W25,W25)</f>
        <v/>
      </c>
      <c r="AB25" s="46" t="n"/>
      <c r="AC25" s="47" t="n"/>
      <c r="AD25" s="47" t="inlineStr">
        <is>
          <t>BL</t>
        </is>
      </c>
    </row>
    <row r="26" ht="15" customHeight="1">
      <c r="A26" s="28" t="inlineStr">
        <is>
          <t>ENS</t>
        </is>
      </c>
      <c r="B26" s="29" t="inlineStr">
        <is>
          <t>2026-08-24</t>
        </is>
      </c>
      <c r="C26" s="11" t="n">
        <v>0</v>
      </c>
      <c r="D26" s="11" t="n">
        <v>0</v>
      </c>
      <c r="E26" s="36" t="n"/>
      <c r="F26" s="36" t="n">
        <v>0</v>
      </c>
      <c r="G26" s="11" t="inlineStr">
        <is>
          <t>INTERFACE</t>
        </is>
      </c>
      <c r="H26" s="33" t="inlineStr">
        <is>
          <t>ALTERAÇÃO</t>
        </is>
      </c>
      <c r="I26" s="32" t="inlineStr">
        <is>
          <t>ensemble@thyssenkruppelevadores.com.br</t>
        </is>
      </c>
      <c r="J26" s="33" t="inlineStr">
        <is>
          <t>Giovani Perotto Mesquita</t>
        </is>
      </c>
      <c r="K26" s="11">
        <f>_xlfn.XLOOKUP(Planilha!$J26,Tabela9[Pessoas],Tabela9[UUID Jira])</f>
        <v/>
      </c>
      <c r="L26" s="41" t="inlineStr">
        <is>
          <t>Luis Henrique Petkovicz</t>
        </is>
      </c>
      <c r="M26" s="11">
        <f>_xlfn.XLOOKUP(Planilha!$L26,Tabela9[Pessoas],Tabela9[UUID Jira])</f>
        <v/>
      </c>
      <c r="N26" s="11" t="inlineStr">
        <is>
          <t>Epico 2</t>
        </is>
      </c>
      <c r="O26" s="11" t="inlineStr">
        <is>
          <t>Atividade 2</t>
        </is>
      </c>
      <c r="P26" s="11" t="inlineStr">
        <is>
          <t>Tarefa 2</t>
        </is>
      </c>
      <c r="Q26" s="11" t="inlineStr">
        <is>
          <t>Implementação</t>
        </is>
      </c>
      <c r="R26"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6" s="34" t="n">
        <v>2</v>
      </c>
      <c r="T26" s="11">
        <f>_xlfn.XLOOKUP(S26,Tabela4[Horas],Tabela4[Pontos],,1)</f>
        <v/>
      </c>
      <c r="U26" s="11" t="inlineStr">
        <is>
          <t>ENS-10888</t>
        </is>
      </c>
      <c r="V26" s="11" t="inlineStr">
        <is>
          <t>ENS-10889</t>
        </is>
      </c>
      <c r="W26" s="11" t="inlineStr">
        <is>
          <t>ENS-10890</t>
        </is>
      </c>
      <c r="X26" s="46" t="n"/>
      <c r="Y26" s="44">
        <f>HYPERLINK("https://tkebrasil.atlassian.net/browse/" &amp; U26,U26)</f>
        <v/>
      </c>
      <c r="Z26" s="44">
        <f>HYPERLINK("https://tkebrasil.atlassian.net/browse/" &amp; V26,V26)</f>
        <v/>
      </c>
      <c r="AA26" s="44">
        <f>HYPERLINK("https://tkebrasil.atlassian.net/browse/" &amp; W26,W26)</f>
        <v/>
      </c>
      <c r="AB26" s="46" t="n"/>
      <c r="AC26" s="47" t="n"/>
      <c r="AD26" s="47" t="inlineStr">
        <is>
          <t>BL</t>
        </is>
      </c>
    </row>
    <row r="27" ht="15" customHeight="1">
      <c r="A27" s="28" t="inlineStr">
        <is>
          <t>ENS</t>
        </is>
      </c>
      <c r="B27" s="29" t="inlineStr">
        <is>
          <t>2026-08-24</t>
        </is>
      </c>
      <c r="C27" s="11" t="n">
        <v>0</v>
      </c>
      <c r="D27" s="11" t="n">
        <v>0</v>
      </c>
      <c r="E27" s="36" t="n"/>
      <c r="F27" s="36" t="n">
        <v>0</v>
      </c>
      <c r="G27" s="11" t="inlineStr">
        <is>
          <t>INTERFACE</t>
        </is>
      </c>
      <c r="H27" s="33" t="inlineStr">
        <is>
          <t>ALTERAÇÃO</t>
        </is>
      </c>
      <c r="I27" s="32" t="inlineStr">
        <is>
          <t>ensemble@thyssenkruppelevadores.com.br</t>
        </is>
      </c>
      <c r="J27" s="33" t="inlineStr">
        <is>
          <t>Giovani Perotto Mesquita</t>
        </is>
      </c>
      <c r="K27" s="11">
        <f>_xlfn.XLOOKUP(Planilha!$J27,Tabela9[Pessoas],Tabela9[UUID Jira])</f>
        <v/>
      </c>
      <c r="L27" s="41" t="inlineStr">
        <is>
          <t>Luis Henrique Petkovicz</t>
        </is>
      </c>
      <c r="M27" s="11">
        <f>_xlfn.XLOOKUP(Planilha!$L27,Tabela9[Pessoas],Tabela9[UUID Jira])</f>
        <v/>
      </c>
      <c r="N27" s="11" t="inlineStr">
        <is>
          <t>Epico 3</t>
        </is>
      </c>
      <c r="O27" s="11" t="inlineStr">
        <is>
          <t>Atividade 3</t>
        </is>
      </c>
      <c r="P27" s="11" t="inlineStr">
        <is>
          <t>Tarefa 3</t>
        </is>
      </c>
      <c r="Q27" s="11" t="inlineStr">
        <is>
          <t>Implementação</t>
        </is>
      </c>
      <c r="R27"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7" s="34" t="n">
        <v>2</v>
      </c>
      <c r="T27" s="11">
        <f>_xlfn.XLOOKUP(S27,Tabela4[Horas],Tabela4[Pontos],,1)</f>
        <v/>
      </c>
      <c r="U27" s="11" t="inlineStr">
        <is>
          <t>ENS-10891</t>
        </is>
      </c>
      <c r="V27" s="11" t="inlineStr">
        <is>
          <t>ENS-10892</t>
        </is>
      </c>
      <c r="W27" s="11" t="inlineStr">
        <is>
          <t>ENS-10893</t>
        </is>
      </c>
      <c r="X27" s="46" t="n"/>
      <c r="Y27" s="44">
        <f>HYPERLINK("https://tkebrasil.atlassian.net/browse/" &amp; U27,U27)</f>
        <v/>
      </c>
      <c r="Z27" s="44">
        <f>HYPERLINK("https://tkebrasil.atlassian.net/browse/" &amp; V27,V27)</f>
        <v/>
      </c>
      <c r="AA27" s="44">
        <f>HYPERLINK("https://tkebrasil.atlassian.net/browse/" &amp; W27,W27)</f>
        <v/>
      </c>
      <c r="AB27" s="46" t="n"/>
      <c r="AC27" s="47" t="n"/>
      <c r="AD27" s="47" t="inlineStr">
        <is>
          <t>BL</t>
        </is>
      </c>
    </row>
    <row r="28" ht="15" customHeight="1">
      <c r="A28" s="28" t="inlineStr">
        <is>
          <t>ENS</t>
        </is>
      </c>
      <c r="B28" s="29" t="inlineStr">
        <is>
          <t>2026-08-24</t>
        </is>
      </c>
      <c r="C28" s="11" t="n">
        <v>0</v>
      </c>
      <c r="D28" s="11" t="n">
        <v>0</v>
      </c>
      <c r="E28" s="36" t="n"/>
      <c r="F28" s="36" t="n">
        <v>0</v>
      </c>
      <c r="G28" s="11" t="inlineStr">
        <is>
          <t>INTERFACE</t>
        </is>
      </c>
      <c r="H28" s="33" t="inlineStr">
        <is>
          <t>ALTERAÇÃO</t>
        </is>
      </c>
      <c r="I28" s="32" t="inlineStr">
        <is>
          <t>ensemble@thyssenkruppelevadores.com.br</t>
        </is>
      </c>
      <c r="J28" s="33" t="inlineStr">
        <is>
          <t>Giovani Perotto Mesquita</t>
        </is>
      </c>
      <c r="K28" s="11">
        <f>_xlfn.XLOOKUP(Planilha!$J28,Tabela9[Pessoas],Tabela9[UUID Jira])</f>
        <v/>
      </c>
      <c r="L28" s="41" t="inlineStr">
        <is>
          <t>Luis Henrique Petkovicz</t>
        </is>
      </c>
      <c r="M28" s="11">
        <f>_xlfn.XLOOKUP(Planilha!$L28,Tabela9[Pessoas],Tabela9[UUID Jira])</f>
        <v/>
      </c>
      <c r="N28" s="11" t="inlineStr">
        <is>
          <t>Epico 4</t>
        </is>
      </c>
      <c r="O28" s="11" t="inlineStr">
        <is>
          <t>Atividade 4</t>
        </is>
      </c>
      <c r="P28" s="11" t="inlineStr">
        <is>
          <t>Tarefa 4</t>
        </is>
      </c>
      <c r="Q28" s="11" t="inlineStr">
        <is>
          <t>Implementação</t>
        </is>
      </c>
      <c r="R28"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8" s="34" t="n">
        <v>2</v>
      </c>
      <c r="T28" s="11">
        <f>_xlfn.XLOOKUP(S28,Tabela4[Horas],Tabela4[Pontos],,1)</f>
        <v/>
      </c>
      <c r="U28" s="11" t="inlineStr">
        <is>
          <t>ENS-10894</t>
        </is>
      </c>
      <c r="V28" s="11" t="inlineStr">
        <is>
          <t>ENS-10895</t>
        </is>
      </c>
      <c r="W28" s="11" t="inlineStr">
        <is>
          <t>ENS-10896</t>
        </is>
      </c>
      <c r="X28" s="46" t="n"/>
      <c r="Y28" s="44">
        <f>HYPERLINK("https://tkebrasil.atlassian.net/browse/" &amp; U28,U28)</f>
        <v/>
      </c>
      <c r="Z28" s="44">
        <f>HYPERLINK("https://tkebrasil.atlassian.net/browse/" &amp; V28,V28)</f>
        <v/>
      </c>
      <c r="AA28" s="44">
        <f>HYPERLINK("https://tkebrasil.atlassian.net/browse/" &amp; W28,W28)</f>
        <v/>
      </c>
      <c r="AB28" s="46" t="n"/>
      <c r="AC28" s="47" t="n"/>
      <c r="AD28" s="47" t="inlineStr">
        <is>
          <t>BL</t>
        </is>
      </c>
    </row>
    <row r="29" ht="15" customHeight="1">
      <c r="A29" s="28" t="inlineStr">
        <is>
          <t>ENS</t>
        </is>
      </c>
      <c r="B29" s="29" t="inlineStr">
        <is>
          <t>2026-08-24</t>
        </is>
      </c>
      <c r="C29" s="11" t="n">
        <v>0</v>
      </c>
      <c r="D29" s="11" t="n">
        <v>0</v>
      </c>
      <c r="E29" s="36" t="n"/>
      <c r="F29" s="36" t="n">
        <v>0</v>
      </c>
      <c r="G29" s="11" t="inlineStr">
        <is>
          <t>INTERFACE</t>
        </is>
      </c>
      <c r="H29" s="33" t="inlineStr">
        <is>
          <t>ALTERAÇÃO</t>
        </is>
      </c>
      <c r="I29" s="32" t="inlineStr">
        <is>
          <t>ensemble@thyssenkruppelevadores.com.br</t>
        </is>
      </c>
      <c r="J29" s="33" t="inlineStr">
        <is>
          <t>Giovani Perotto Mesquita</t>
        </is>
      </c>
      <c r="K29" s="11">
        <f>_xlfn.XLOOKUP(Planilha!$J29,Tabela9[Pessoas],Tabela9[UUID Jira])</f>
        <v/>
      </c>
      <c r="L29" s="41" t="inlineStr">
        <is>
          <t>Luis Henrique Petkovicz</t>
        </is>
      </c>
      <c r="M29" s="11">
        <f>_xlfn.XLOOKUP(Planilha!$L29,Tabela9[Pessoas],Tabela9[UUID Jira])</f>
        <v/>
      </c>
      <c r="N29" s="11" t="inlineStr">
        <is>
          <t>Epico 5</t>
        </is>
      </c>
      <c r="O29" s="11" t="inlineStr">
        <is>
          <t>Atividade 5</t>
        </is>
      </c>
      <c r="P29" s="11" t="inlineStr">
        <is>
          <t>Tarefa 5</t>
        </is>
      </c>
      <c r="Q29" s="11" t="inlineStr">
        <is>
          <t>Implementação</t>
        </is>
      </c>
      <c r="R29"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9" s="34" t="n">
        <v>2</v>
      </c>
      <c r="T29" s="11">
        <f>_xlfn.XLOOKUP(S29,Tabela4[Horas],Tabela4[Pontos],,1)</f>
        <v/>
      </c>
      <c r="U29" s="11" t="inlineStr">
        <is>
          <t>ENS-10897</t>
        </is>
      </c>
      <c r="V29" s="11" t="inlineStr">
        <is>
          <t>ENS-10898</t>
        </is>
      </c>
      <c r="W29" s="11" t="inlineStr">
        <is>
          <t>ENS-10899</t>
        </is>
      </c>
      <c r="X29" s="46" t="n"/>
      <c r="Y29" s="44">
        <f>HYPERLINK("https://tkebrasil.atlassian.net/browse/" &amp; U29,U29)</f>
        <v/>
      </c>
      <c r="Z29" s="44">
        <f>HYPERLINK("https://tkebrasil.atlassian.net/browse/" &amp; V29,V29)</f>
        <v/>
      </c>
      <c r="AA29" s="44">
        <f>HYPERLINK("https://tkebrasil.atlassian.net/browse/" &amp; W29,W29)</f>
        <v/>
      </c>
      <c r="AB29" s="46" t="n"/>
      <c r="AC29" s="47" t="n"/>
      <c r="AD29" s="47" t="inlineStr">
        <is>
          <t>BL</t>
        </is>
      </c>
    </row>
    <row r="30" ht="15" customHeight="1">
      <c r="A30" s="28" t="inlineStr">
        <is>
          <t>ENS</t>
        </is>
      </c>
      <c r="B30" s="29" t="inlineStr">
        <is>
          <t>2026-08-24</t>
        </is>
      </c>
      <c r="C30" s="11" t="n">
        <v>0</v>
      </c>
      <c r="D30" s="11" t="n">
        <v>0</v>
      </c>
      <c r="E30" s="36" t="n"/>
      <c r="F30" s="36" t="n">
        <v>0</v>
      </c>
      <c r="G30" s="11" t="inlineStr">
        <is>
          <t>INTERFACE</t>
        </is>
      </c>
      <c r="H30" s="33" t="inlineStr">
        <is>
          <t>ALTERAÇÃO</t>
        </is>
      </c>
      <c r="I30" s="32" t="inlineStr">
        <is>
          <t>ensemble@thyssenkruppelevadores.com.br</t>
        </is>
      </c>
      <c r="J30" s="33" t="inlineStr">
        <is>
          <t>Giovani Perotto Mesquita</t>
        </is>
      </c>
      <c r="K30" s="11">
        <f>_xlfn.XLOOKUP(Planilha!$J30,Tabela9[Pessoas],Tabela9[UUID Jira])</f>
        <v/>
      </c>
      <c r="L30" s="41" t="inlineStr">
        <is>
          <t>Luis Henrique Petkovicz</t>
        </is>
      </c>
      <c r="M30" s="11">
        <f>_xlfn.XLOOKUP(Planilha!$L30,Tabela9[Pessoas],Tabela9[UUID Jira])</f>
        <v/>
      </c>
      <c r="N30" s="11" t="inlineStr">
        <is>
          <t>Epico 6</t>
        </is>
      </c>
      <c r="O30" s="11" t="inlineStr">
        <is>
          <t>Atividade 6</t>
        </is>
      </c>
      <c r="P30" s="11" t="inlineStr">
        <is>
          <t>Tarefa 6</t>
        </is>
      </c>
      <c r="Q30" s="11" t="inlineStr">
        <is>
          <t>Implementação</t>
        </is>
      </c>
      <c r="R30"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0" s="34" t="n">
        <v>2</v>
      </c>
      <c r="T30" s="11">
        <f>_xlfn.XLOOKUP(S30,Tabela4[Horas],Tabela4[Pontos],,1)</f>
        <v/>
      </c>
      <c r="U30" s="11" t="inlineStr">
        <is>
          <t>ENS-10900</t>
        </is>
      </c>
      <c r="V30" s="11" t="inlineStr">
        <is>
          <t>ENS-10901</t>
        </is>
      </c>
      <c r="W30" s="11" t="inlineStr">
        <is>
          <t>ENS-10902</t>
        </is>
      </c>
      <c r="X30" s="46" t="n"/>
      <c r="Y30" s="44">
        <f>HYPERLINK("https://tkebrasil.atlassian.net/browse/" &amp; U30,U30)</f>
        <v/>
      </c>
      <c r="Z30" s="44">
        <f>HYPERLINK("https://tkebrasil.atlassian.net/browse/" &amp; V30,V30)</f>
        <v/>
      </c>
      <c r="AA30" s="44">
        <f>HYPERLINK("https://tkebrasil.atlassian.net/browse/" &amp; W30,W30)</f>
        <v/>
      </c>
      <c r="AB30" s="46" t="n"/>
      <c r="AC30" s="47" t="n"/>
      <c r="AD30" s="47" t="inlineStr">
        <is>
          <t>BL</t>
        </is>
      </c>
    </row>
    <row r="31" ht="15" customHeight="1">
      <c r="A31" s="28" t="inlineStr">
        <is>
          <t>ENS</t>
        </is>
      </c>
      <c r="B31" s="29" t="inlineStr">
        <is>
          <t>2026-08-24</t>
        </is>
      </c>
      <c r="C31" s="11" t="n">
        <v>0</v>
      </c>
      <c r="D31" s="11" t="n">
        <v>0</v>
      </c>
      <c r="E31" s="36" t="n"/>
      <c r="F31" s="36" t="n">
        <v>0</v>
      </c>
      <c r="G31" s="11" t="inlineStr">
        <is>
          <t>INTERFACE</t>
        </is>
      </c>
      <c r="H31" s="33" t="inlineStr">
        <is>
          <t>ALTERAÇÃO</t>
        </is>
      </c>
      <c r="I31" s="32" t="inlineStr">
        <is>
          <t>ensemble@thyssenkruppelevadores.com.br</t>
        </is>
      </c>
      <c r="J31" s="33" t="inlineStr">
        <is>
          <t>Giovani Perotto Mesquita</t>
        </is>
      </c>
      <c r="K31" s="11">
        <f>_xlfn.XLOOKUP(Planilha!$J31,Tabela9[Pessoas],Tabela9[UUID Jira])</f>
        <v/>
      </c>
      <c r="L31" s="41" t="inlineStr">
        <is>
          <t>Luis Henrique Petkovicz</t>
        </is>
      </c>
      <c r="M31" s="11">
        <f>_xlfn.XLOOKUP(Planilha!$L31,Tabela9[Pessoas],Tabela9[UUID Jira])</f>
        <v/>
      </c>
      <c r="N31" s="11" t="inlineStr">
        <is>
          <t>Epico 7</t>
        </is>
      </c>
      <c r="O31" s="11" t="inlineStr">
        <is>
          <t>Atividade 7</t>
        </is>
      </c>
      <c r="P31" s="11" t="inlineStr">
        <is>
          <t>Tarefa 7</t>
        </is>
      </c>
      <c r="Q31" s="11" t="inlineStr">
        <is>
          <t>Implementação</t>
        </is>
      </c>
      <c r="R31"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1" s="34" t="n">
        <v>2</v>
      </c>
      <c r="T31" s="11">
        <f>_xlfn.XLOOKUP(S31,Tabela4[Horas],Tabela4[Pontos],,1)</f>
        <v/>
      </c>
      <c r="U31" s="11" t="inlineStr">
        <is>
          <t>ENS-10903</t>
        </is>
      </c>
      <c r="V31" s="11" t="inlineStr">
        <is>
          <t>ENS-10904</t>
        </is>
      </c>
      <c r="W31" s="11" t="inlineStr">
        <is>
          <t>ENS-10905</t>
        </is>
      </c>
      <c r="X31" s="46" t="n"/>
      <c r="Y31" s="44">
        <f>HYPERLINK("https://tkebrasil.atlassian.net/browse/" &amp; U31,U31)</f>
        <v/>
      </c>
      <c r="Z31" s="44">
        <f>HYPERLINK("https://tkebrasil.atlassian.net/browse/" &amp; V31,V31)</f>
        <v/>
      </c>
      <c r="AA31" s="44">
        <f>HYPERLINK("https://tkebrasil.atlassian.net/browse/" &amp; W31,W31)</f>
        <v/>
      </c>
      <c r="AB31" s="46" t="n"/>
      <c r="AC31" s="47" t="n"/>
      <c r="AD31" s="47" t="inlineStr">
        <is>
          <t>BL</t>
        </is>
      </c>
    </row>
    <row r="32" ht="15" customHeight="1">
      <c r="A32" s="28" t="inlineStr">
        <is>
          <t>ENS</t>
        </is>
      </c>
      <c r="B32" s="29" t="inlineStr">
        <is>
          <t>2026-08-24</t>
        </is>
      </c>
      <c r="C32" s="11" t="n">
        <v>0</v>
      </c>
      <c r="D32" s="11" t="n">
        <v>0</v>
      </c>
      <c r="E32" s="36" t="n"/>
      <c r="F32" s="36" t="n">
        <v>0</v>
      </c>
      <c r="G32" s="11" t="inlineStr">
        <is>
          <t>INTERFACE</t>
        </is>
      </c>
      <c r="H32" s="33" t="inlineStr">
        <is>
          <t>ALTERAÇÃO</t>
        </is>
      </c>
      <c r="I32" s="32" t="inlineStr">
        <is>
          <t>ensemble@thyssenkruppelevadores.com.br</t>
        </is>
      </c>
      <c r="J32" s="33" t="inlineStr">
        <is>
          <t>Giovani Perotto Mesquita</t>
        </is>
      </c>
      <c r="K32" s="11">
        <f>_xlfn.XLOOKUP(Planilha!$J32,Tabela9[Pessoas],Tabela9[UUID Jira])</f>
        <v/>
      </c>
      <c r="L32" s="41" t="inlineStr">
        <is>
          <t>Luis Henrique Petkovicz</t>
        </is>
      </c>
      <c r="M32" s="11">
        <f>_xlfn.XLOOKUP(Planilha!$L32,Tabela9[Pessoas],Tabela9[UUID Jira])</f>
        <v/>
      </c>
      <c r="N32" s="11" t="inlineStr">
        <is>
          <t>Epico 8</t>
        </is>
      </c>
      <c r="O32" s="11" t="inlineStr">
        <is>
          <t>Atividade 8</t>
        </is>
      </c>
      <c r="P32" s="11" t="inlineStr">
        <is>
          <t>Tarefa 8</t>
        </is>
      </c>
      <c r="Q32" s="11" t="inlineStr">
        <is>
          <t>Implementação</t>
        </is>
      </c>
      <c r="R32"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2" s="34" t="n">
        <v>2</v>
      </c>
      <c r="T32" s="11">
        <f>_xlfn.XLOOKUP(S32,Tabela4[Horas],Tabela4[Pontos],,1)</f>
        <v/>
      </c>
      <c r="U32" s="11" t="inlineStr">
        <is>
          <t>ENS-10906</t>
        </is>
      </c>
      <c r="V32" s="11" t="inlineStr">
        <is>
          <t>ENS-10907</t>
        </is>
      </c>
      <c r="W32" s="11" t="inlineStr">
        <is>
          <t>ENS-10908</t>
        </is>
      </c>
      <c r="X32" s="46" t="n"/>
      <c r="Y32" s="44">
        <f>HYPERLINK("https://tkebrasil.atlassian.net/browse/" &amp; U32,U32)</f>
        <v/>
      </c>
      <c r="Z32" s="44">
        <f>HYPERLINK("https://tkebrasil.atlassian.net/browse/" &amp; V32,V32)</f>
        <v/>
      </c>
      <c r="AA32" s="44">
        <f>HYPERLINK("https://tkebrasil.atlassian.net/browse/" &amp; W32,W32)</f>
        <v/>
      </c>
      <c r="AB32" s="46" t="n"/>
      <c r="AC32" s="47" t="n"/>
      <c r="AD32" s="47" t="inlineStr">
        <is>
          <t>BL</t>
        </is>
      </c>
    </row>
    <row r="33" ht="15" customHeight="1">
      <c r="A33" s="28" t="inlineStr">
        <is>
          <t>ENS</t>
        </is>
      </c>
      <c r="B33" s="29" t="inlineStr">
        <is>
          <t>2026-08-24</t>
        </is>
      </c>
      <c r="C33" s="11" t="n">
        <v>0</v>
      </c>
      <c r="D33" s="11" t="n">
        <v>0</v>
      </c>
      <c r="E33" s="36" t="n"/>
      <c r="F33" s="36" t="n">
        <v>0</v>
      </c>
      <c r="G33" s="11" t="inlineStr">
        <is>
          <t>INTERFACE</t>
        </is>
      </c>
      <c r="H33" s="33" t="inlineStr">
        <is>
          <t>ALTERAÇÃO</t>
        </is>
      </c>
      <c r="I33" s="32" t="inlineStr">
        <is>
          <t>ensemble@thyssenkruppelevadores.com.br</t>
        </is>
      </c>
      <c r="J33" s="33" t="inlineStr">
        <is>
          <t>Giovani Perotto Mesquita</t>
        </is>
      </c>
      <c r="K33" s="11">
        <f>_xlfn.XLOOKUP(Planilha!$J33,Tabela9[Pessoas],Tabela9[UUID Jira])</f>
        <v/>
      </c>
      <c r="L33" s="41" t="inlineStr">
        <is>
          <t>Luis Henrique Petkovicz</t>
        </is>
      </c>
      <c r="M33" s="11">
        <f>_xlfn.XLOOKUP(Planilha!$L33,Tabela9[Pessoas],Tabela9[UUID Jira])</f>
        <v/>
      </c>
      <c r="N33" s="11" t="inlineStr">
        <is>
          <t>Epico 9</t>
        </is>
      </c>
      <c r="O33" s="11" t="inlineStr">
        <is>
          <t>Atividade 9</t>
        </is>
      </c>
      <c r="P33" s="11" t="inlineStr">
        <is>
          <t>Tarefa 9</t>
        </is>
      </c>
      <c r="Q33" s="11" t="inlineStr">
        <is>
          <t>Implementação</t>
        </is>
      </c>
      <c r="R33"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3" s="34" t="n">
        <v>2</v>
      </c>
      <c r="T33" s="11">
        <f>_xlfn.XLOOKUP(S33,Tabela4[Horas],Tabela4[Pontos],,1)</f>
        <v/>
      </c>
      <c r="U33" s="11" t="inlineStr">
        <is>
          <t>ENS-10909</t>
        </is>
      </c>
      <c r="V33" s="11" t="inlineStr">
        <is>
          <t>ENS-10910</t>
        </is>
      </c>
      <c r="W33" s="11" t="inlineStr">
        <is>
          <t>ENS-10911</t>
        </is>
      </c>
      <c r="X33" s="46" t="n"/>
      <c r="Y33" s="44">
        <f>HYPERLINK("https://tkebrasil.atlassian.net/browse/" &amp; U33,U33)</f>
        <v/>
      </c>
      <c r="Z33" s="44">
        <f>HYPERLINK("https://tkebrasil.atlassian.net/browse/" &amp; V33,V33)</f>
        <v/>
      </c>
      <c r="AA33" s="44">
        <f>HYPERLINK("https://tkebrasil.atlassian.net/browse/" &amp; W33,W33)</f>
        <v/>
      </c>
      <c r="AB33" s="46" t="n"/>
      <c r="AC33" s="47" t="n"/>
      <c r="AD33" s="47" t="inlineStr">
        <is>
          <t>BL</t>
        </is>
      </c>
    </row>
    <row r="34" ht="15" customHeight="1">
      <c r="A34" s="28" t="inlineStr">
        <is>
          <t>ENS</t>
        </is>
      </c>
      <c r="B34" s="29" t="inlineStr">
        <is>
          <t>2026-08-24</t>
        </is>
      </c>
      <c r="C34" s="11" t="n">
        <v>0</v>
      </c>
      <c r="D34" s="11" t="n">
        <v>0</v>
      </c>
      <c r="E34" s="36" t="n"/>
      <c r="F34" s="36" t="n">
        <v>0</v>
      </c>
      <c r="G34" s="11" t="inlineStr">
        <is>
          <t>INTERFACE</t>
        </is>
      </c>
      <c r="H34" s="33" t="inlineStr">
        <is>
          <t>ALTERAÇÃO</t>
        </is>
      </c>
      <c r="I34" s="32" t="inlineStr">
        <is>
          <t>ensemble@thyssenkruppelevadores.com.br</t>
        </is>
      </c>
      <c r="J34" s="33" t="inlineStr">
        <is>
          <t>Giovani Perotto Mesquita</t>
        </is>
      </c>
      <c r="K34" s="11">
        <f>_xlfn.XLOOKUP(Planilha!$J34,Tabela9[Pessoas],Tabela9[UUID Jira])</f>
        <v/>
      </c>
      <c r="L34" s="41" t="inlineStr">
        <is>
          <t>Luiz Felipe Brandão da Silva</t>
        </is>
      </c>
      <c r="M34" s="11">
        <f>_xlfn.XLOOKUP(Planilha!$L34,Tabela9[Pessoas],Tabela9[UUID Jira])</f>
        <v/>
      </c>
      <c r="N34" s="11" t="inlineStr">
        <is>
          <t>Epico 10</t>
        </is>
      </c>
      <c r="O34" s="11" t="inlineStr">
        <is>
          <t>Atividade 10</t>
        </is>
      </c>
      <c r="P34" s="11" t="inlineStr">
        <is>
          <t>Tarefa 10</t>
        </is>
      </c>
      <c r="Q34" s="11" t="inlineStr">
        <is>
          <t>Implementação</t>
        </is>
      </c>
      <c r="R34"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4" s="34" t="n">
        <v>2</v>
      </c>
      <c r="T34" s="11">
        <f>_xlfn.XLOOKUP(S34,Tabela4[Horas],Tabela4[Pontos],,1)</f>
        <v/>
      </c>
      <c r="U34" s="11" t="inlineStr">
        <is>
          <t>ENS-10912</t>
        </is>
      </c>
      <c r="V34" s="11" t="inlineStr">
        <is>
          <t>ENS-10913</t>
        </is>
      </c>
      <c r="W34" s="11" t="inlineStr">
        <is>
          <t>ENS-10914</t>
        </is>
      </c>
      <c r="X34" s="46" t="n"/>
      <c r="Y34" s="44">
        <f>HYPERLINK("https://tkebrasil.atlassian.net/browse/" &amp; U34,U34)</f>
        <v/>
      </c>
      <c r="Z34" s="44">
        <f>HYPERLINK("https://tkebrasil.atlassian.net/browse/" &amp; V34,V34)</f>
        <v/>
      </c>
      <c r="AA34" s="44">
        <f>HYPERLINK("https://tkebrasil.atlassian.net/browse/" &amp; W34,W34)</f>
        <v/>
      </c>
      <c r="AB34" s="46" t="n"/>
      <c r="AC34" s="47" t="n"/>
      <c r="AD34" s="47" t="inlineStr">
        <is>
          <t>BL</t>
        </is>
      </c>
    </row>
    <row r="35" ht="15" customHeight="1">
      <c r="A35" s="28" t="inlineStr">
        <is>
          <t>ENS</t>
        </is>
      </c>
      <c r="B35" s="29" t="inlineStr">
        <is>
          <t>2026-08-24</t>
        </is>
      </c>
      <c r="C35" s="11" t="n">
        <v>0</v>
      </c>
      <c r="D35" s="11" t="n">
        <v>0</v>
      </c>
      <c r="E35" s="36" t="n"/>
      <c r="F35" s="36" t="n">
        <v>0</v>
      </c>
      <c r="G35" s="11" t="inlineStr">
        <is>
          <t>INTERFACE</t>
        </is>
      </c>
      <c r="H35" s="33" t="inlineStr">
        <is>
          <t>ALTERAÇÃO</t>
        </is>
      </c>
      <c r="I35" s="32" t="inlineStr">
        <is>
          <t>ensemble@thyssenkruppelevadores.com.br</t>
        </is>
      </c>
      <c r="J35" s="33" t="inlineStr">
        <is>
          <t>Giovani Perotto Mesquita</t>
        </is>
      </c>
      <c r="K35" s="11">
        <f>_xlfn.XLOOKUP(Planilha!$J35,Tabela9[Pessoas],Tabela9[UUID Jira])</f>
        <v/>
      </c>
      <c r="L35" s="41" t="inlineStr">
        <is>
          <t>Luiz Felipe Brandão da Silva</t>
        </is>
      </c>
      <c r="M35" s="11">
        <f>_xlfn.XLOOKUP(Planilha!$L35,Tabela9[Pessoas],Tabela9[UUID Jira])</f>
        <v/>
      </c>
      <c r="N35" s="11" t="inlineStr">
        <is>
          <t>Epico 11</t>
        </is>
      </c>
      <c r="O35" s="11" t="inlineStr">
        <is>
          <t>Atividade 11</t>
        </is>
      </c>
      <c r="P35" s="11" t="inlineStr">
        <is>
          <t>Tarefa 11</t>
        </is>
      </c>
      <c r="Q35" s="11" t="inlineStr">
        <is>
          <t>Implementação</t>
        </is>
      </c>
      <c r="R35"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5" s="34" t="n">
        <v>2</v>
      </c>
      <c r="T35" s="11">
        <f>_xlfn.XLOOKUP(S35,Tabela4[Horas],Tabela4[Pontos],,1)</f>
        <v/>
      </c>
      <c r="U35" s="11" t="inlineStr">
        <is>
          <t>ENS-10915</t>
        </is>
      </c>
      <c r="V35" s="11" t="inlineStr">
        <is>
          <t>ENS-10916</t>
        </is>
      </c>
      <c r="W35" s="11" t="inlineStr">
        <is>
          <t>ENS-10917</t>
        </is>
      </c>
      <c r="X35" s="46" t="n"/>
      <c r="Y35" s="44">
        <f>HYPERLINK("https://tkebrasil.atlassian.net/browse/" &amp; U35,U35)</f>
        <v/>
      </c>
      <c r="Z35" s="44">
        <f>HYPERLINK("https://tkebrasil.atlassian.net/browse/" &amp; V35,V35)</f>
        <v/>
      </c>
      <c r="AA35" s="44">
        <f>HYPERLINK("https://tkebrasil.atlassian.net/browse/" &amp; W35,W35)</f>
        <v/>
      </c>
      <c r="AB35" s="46" t="n"/>
      <c r="AC35" s="47" t="n"/>
      <c r="AD35" s="47" t="inlineStr">
        <is>
          <t>BL</t>
        </is>
      </c>
    </row>
    <row r="36" ht="15" customHeight="1">
      <c r="A36" s="28" t="inlineStr">
        <is>
          <t>ENS</t>
        </is>
      </c>
      <c r="B36" s="29" t="inlineStr">
        <is>
          <t>2026-08-24</t>
        </is>
      </c>
      <c r="C36" s="11" t="n">
        <v>0</v>
      </c>
      <c r="D36" s="11" t="n">
        <v>0</v>
      </c>
      <c r="E36" s="36" t="n"/>
      <c r="F36" s="36" t="n">
        <v>0</v>
      </c>
      <c r="G36" s="11" t="inlineStr">
        <is>
          <t>INTERFACE</t>
        </is>
      </c>
      <c r="H36" s="33" t="inlineStr">
        <is>
          <t>ALTERAÇÃO</t>
        </is>
      </c>
      <c r="I36" s="32" t="inlineStr">
        <is>
          <t>ensemble@thyssenkruppelevadores.com.br</t>
        </is>
      </c>
      <c r="J36" s="33" t="inlineStr">
        <is>
          <t>Giovani Perotto Mesquita</t>
        </is>
      </c>
      <c r="K36" s="11">
        <f>_xlfn.XLOOKUP(Planilha!$J36,Tabela9[Pessoas],Tabela9[UUID Jira])</f>
        <v/>
      </c>
      <c r="L36" s="41" t="inlineStr">
        <is>
          <t>Luiz Felipe Brandão da Silva</t>
        </is>
      </c>
      <c r="M36" s="11">
        <f>_xlfn.XLOOKUP(Planilha!$L36,Tabela9[Pessoas],Tabela9[UUID Jira])</f>
        <v/>
      </c>
      <c r="N36" s="11" t="inlineStr">
        <is>
          <t>Epico 12</t>
        </is>
      </c>
      <c r="O36" s="11" t="inlineStr">
        <is>
          <t>Atividade 12</t>
        </is>
      </c>
      <c r="P36" s="11" t="inlineStr">
        <is>
          <t>Tarefa 12</t>
        </is>
      </c>
      <c r="Q36" s="11" t="inlineStr">
        <is>
          <t>Implementação</t>
        </is>
      </c>
      <c r="R36"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6" s="34" t="n">
        <v>2</v>
      </c>
      <c r="T36" s="11">
        <f>_xlfn.XLOOKUP(S36,Tabela4[Horas],Tabela4[Pontos],,1)</f>
        <v/>
      </c>
      <c r="U36" s="11" t="inlineStr">
        <is>
          <t>ENS-10918</t>
        </is>
      </c>
      <c r="V36" s="11" t="inlineStr">
        <is>
          <t>ENS-10919</t>
        </is>
      </c>
      <c r="W36" s="11" t="inlineStr">
        <is>
          <t>ENS-10920</t>
        </is>
      </c>
      <c r="X36" s="46" t="n"/>
      <c r="Y36" s="44">
        <f>HYPERLINK("https://tkebrasil.atlassian.net/browse/" &amp; U36,U36)</f>
        <v/>
      </c>
      <c r="Z36" s="44">
        <f>HYPERLINK("https://tkebrasil.atlassian.net/browse/" &amp; V36,V36)</f>
        <v/>
      </c>
      <c r="AA36" s="44">
        <f>HYPERLINK("https://tkebrasil.atlassian.net/browse/" &amp; W36,W36)</f>
        <v/>
      </c>
      <c r="AB36" s="46" t="n"/>
      <c r="AC36" s="47" t="n"/>
      <c r="AD36" s="47" t="inlineStr">
        <is>
          <t>BL</t>
        </is>
      </c>
    </row>
    <row r="37" ht="15" customHeight="1">
      <c r="A37" s="28" t="inlineStr">
        <is>
          <t>ENS</t>
        </is>
      </c>
      <c r="B37" s="29" t="inlineStr">
        <is>
          <t>2026-08-24</t>
        </is>
      </c>
      <c r="C37" s="11" t="n">
        <v>0</v>
      </c>
      <c r="D37" s="11" t="n">
        <v>0</v>
      </c>
      <c r="E37" s="36" t="n"/>
      <c r="F37" s="36" t="n">
        <v>0</v>
      </c>
      <c r="G37" s="11" t="inlineStr">
        <is>
          <t>INTERFACE</t>
        </is>
      </c>
      <c r="H37" s="33" t="inlineStr">
        <is>
          <t>ALTERAÇÃO</t>
        </is>
      </c>
      <c r="I37" s="32" t="inlineStr">
        <is>
          <t>ensemble@thyssenkruppelevadores.com.br</t>
        </is>
      </c>
      <c r="J37" s="33" t="inlineStr">
        <is>
          <t>Giovani Perotto Mesquita</t>
        </is>
      </c>
      <c r="K37" s="11">
        <f>_xlfn.XLOOKUP(Planilha!$J37,Tabela9[Pessoas],Tabela9[UUID Jira])</f>
        <v/>
      </c>
      <c r="L37" s="41" t="inlineStr">
        <is>
          <t>Luiz Felipe Brandão da Silva</t>
        </is>
      </c>
      <c r="M37" s="11">
        <f>_xlfn.XLOOKUP(Planilha!$L37,Tabela9[Pessoas],Tabela9[UUID Jira])</f>
        <v/>
      </c>
      <c r="N37" s="11" t="inlineStr">
        <is>
          <t>Epico 13</t>
        </is>
      </c>
      <c r="O37" s="11" t="inlineStr">
        <is>
          <t>Atividade 13</t>
        </is>
      </c>
      <c r="P37" s="11" t="inlineStr">
        <is>
          <t>Tarefa 13</t>
        </is>
      </c>
      <c r="Q37" s="11" t="inlineStr">
        <is>
          <t>Implementação</t>
        </is>
      </c>
      <c r="R37"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7" s="34" t="n">
        <v>2</v>
      </c>
      <c r="T37" s="11">
        <f>_xlfn.XLOOKUP(S37,Tabela4[Horas],Tabela4[Pontos],,1)</f>
        <v/>
      </c>
      <c r="U37" s="11" t="inlineStr">
        <is>
          <t>ENS-10921</t>
        </is>
      </c>
      <c r="V37" s="11" t="inlineStr">
        <is>
          <t>ENS-10922</t>
        </is>
      </c>
      <c r="W37" s="11" t="inlineStr">
        <is>
          <t>ENS-10923</t>
        </is>
      </c>
      <c r="X37" s="46" t="n"/>
      <c r="Y37" s="44">
        <f>HYPERLINK("https://tkebrasil.atlassian.net/browse/" &amp; U37,U37)</f>
        <v/>
      </c>
      <c r="Z37" s="44">
        <f>HYPERLINK("https://tkebrasil.atlassian.net/browse/" &amp; V37,V37)</f>
        <v/>
      </c>
      <c r="AA37" s="44">
        <f>HYPERLINK("https://tkebrasil.atlassian.net/browse/" &amp; W37,W37)</f>
        <v/>
      </c>
      <c r="AB37" s="46" t="n"/>
      <c r="AC37" s="47" t="n"/>
      <c r="AD37" s="47" t="inlineStr">
        <is>
          <t>BL</t>
        </is>
      </c>
    </row>
    <row r="38" ht="15" customHeight="1">
      <c r="A38" s="28" t="inlineStr">
        <is>
          <t>ENS</t>
        </is>
      </c>
      <c r="B38" s="29" t="inlineStr">
        <is>
          <t>2026-08-24</t>
        </is>
      </c>
      <c r="C38" s="11" t="n">
        <v>0</v>
      </c>
      <c r="D38" s="11" t="n">
        <v>0</v>
      </c>
      <c r="E38" s="36" t="n"/>
      <c r="F38" s="36" t="n">
        <v>0</v>
      </c>
      <c r="G38" s="11" t="inlineStr">
        <is>
          <t>INTERFACE</t>
        </is>
      </c>
      <c r="H38" s="33" t="inlineStr">
        <is>
          <t>ALTERAÇÃO</t>
        </is>
      </c>
      <c r="I38" s="32" t="inlineStr">
        <is>
          <t>ensemble@thyssenkruppelevadores.com.br</t>
        </is>
      </c>
      <c r="J38" s="33" t="inlineStr">
        <is>
          <t>Giovani Perotto Mesquita</t>
        </is>
      </c>
      <c r="K38" s="11">
        <f>_xlfn.XLOOKUP(Planilha!$J38,Tabela9[Pessoas],Tabela9[UUID Jira])</f>
        <v/>
      </c>
      <c r="L38" s="41" t="inlineStr">
        <is>
          <t>Luiz Felipe Brandão da Silva</t>
        </is>
      </c>
      <c r="M38" s="11">
        <f>_xlfn.XLOOKUP(Planilha!$L38,Tabela9[Pessoas],Tabela9[UUID Jira])</f>
        <v/>
      </c>
      <c r="N38" s="11" t="inlineStr">
        <is>
          <t>Epico 14</t>
        </is>
      </c>
      <c r="O38" s="11" t="inlineStr">
        <is>
          <t>Atividade 14</t>
        </is>
      </c>
      <c r="P38" s="11" t="inlineStr">
        <is>
          <t>Tarefa 14</t>
        </is>
      </c>
      <c r="Q38" s="11" t="inlineStr">
        <is>
          <t>Implementação</t>
        </is>
      </c>
      <c r="R38"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8" s="34" t="n">
        <v>2</v>
      </c>
      <c r="T38" s="11">
        <f>_xlfn.XLOOKUP(S38,Tabela4[Horas],Tabela4[Pontos],,1)</f>
        <v/>
      </c>
      <c r="U38" s="11" t="inlineStr">
        <is>
          <t>ENS-10924</t>
        </is>
      </c>
      <c r="V38" s="11" t="inlineStr">
        <is>
          <t>ENS-10925</t>
        </is>
      </c>
      <c r="W38" s="11" t="inlineStr">
        <is>
          <t>ENS-10926</t>
        </is>
      </c>
      <c r="X38" s="46" t="n"/>
      <c r="Y38" s="44">
        <f>HYPERLINK("https://tkebrasil.atlassian.net/browse/" &amp; U38,U38)</f>
        <v/>
      </c>
      <c r="Z38" s="44">
        <f>HYPERLINK("https://tkebrasil.atlassian.net/browse/" &amp; V38,V38)</f>
        <v/>
      </c>
      <c r="AA38" s="44">
        <f>HYPERLINK("https://tkebrasil.atlassian.net/browse/" &amp; W38,W38)</f>
        <v/>
      </c>
      <c r="AB38" s="46" t="n"/>
      <c r="AC38" s="47" t="n"/>
      <c r="AD38" s="47" t="inlineStr">
        <is>
          <t>BL</t>
        </is>
      </c>
    </row>
    <row r="39" ht="15" customHeight="1">
      <c r="A39" s="28" t="inlineStr">
        <is>
          <t>ENS</t>
        </is>
      </c>
      <c r="B39" s="29" t="inlineStr">
        <is>
          <t>2026-08-24</t>
        </is>
      </c>
      <c r="C39" s="11" t="n">
        <v>0</v>
      </c>
      <c r="D39" s="11" t="n">
        <v>0</v>
      </c>
      <c r="E39" s="36" t="n"/>
      <c r="F39" s="36" t="n">
        <v>0</v>
      </c>
      <c r="G39" s="11" t="inlineStr">
        <is>
          <t>INTERFACE</t>
        </is>
      </c>
      <c r="H39" s="33" t="inlineStr">
        <is>
          <t>ALTERAÇÃO</t>
        </is>
      </c>
      <c r="I39" s="32" t="inlineStr">
        <is>
          <t>ensemble@thyssenkruppelevadores.com.br</t>
        </is>
      </c>
      <c r="J39" s="33" t="inlineStr">
        <is>
          <t>Giovani Perotto Mesquita</t>
        </is>
      </c>
      <c r="K39" s="11">
        <f>_xlfn.XLOOKUP(Planilha!$J39,Tabela9[Pessoas],Tabela9[UUID Jira])</f>
        <v/>
      </c>
      <c r="L39" s="41" t="inlineStr">
        <is>
          <t>Luiz Felipe Brandão da Silva</t>
        </is>
      </c>
      <c r="M39" s="11">
        <f>_xlfn.XLOOKUP(Planilha!$L39,Tabela9[Pessoas],Tabela9[UUID Jira])</f>
        <v/>
      </c>
      <c r="N39" s="11" t="inlineStr">
        <is>
          <t>Epico 15</t>
        </is>
      </c>
      <c r="O39" s="11" t="inlineStr">
        <is>
          <t>Atividade 15</t>
        </is>
      </c>
      <c r="P39" s="11" t="inlineStr">
        <is>
          <t>Tarefa 15</t>
        </is>
      </c>
      <c r="Q39" s="11" t="inlineStr">
        <is>
          <t>Implementação</t>
        </is>
      </c>
      <c r="R39"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9" s="34" t="n">
        <v>2</v>
      </c>
      <c r="T39" s="11">
        <f>_xlfn.XLOOKUP(S39,Tabela4[Horas],Tabela4[Pontos],,1)</f>
        <v/>
      </c>
      <c r="U39" s="11" t="inlineStr">
        <is>
          <t>ENS-10927</t>
        </is>
      </c>
      <c r="V39" s="11" t="inlineStr">
        <is>
          <t>ENS-10928</t>
        </is>
      </c>
      <c r="W39" s="11" t="inlineStr">
        <is>
          <t>ENS-10929</t>
        </is>
      </c>
      <c r="X39" s="46" t="n"/>
      <c r="Y39" s="44">
        <f>HYPERLINK("https://tkebrasil.atlassian.net/browse/" &amp; U39,U39)</f>
        <v/>
      </c>
      <c r="Z39" s="44">
        <f>HYPERLINK("https://tkebrasil.atlassian.net/browse/" &amp; V39,V39)</f>
        <v/>
      </c>
      <c r="AA39" s="44">
        <f>HYPERLINK("https://tkebrasil.atlassian.net/browse/" &amp; W39,W39)</f>
        <v/>
      </c>
      <c r="AB39" s="46" t="n"/>
      <c r="AC39" s="47" t="n"/>
      <c r="AD39" s="47" t="inlineStr">
        <is>
          <t>BL</t>
        </is>
      </c>
    </row>
    <row r="40" ht="15" customHeight="1">
      <c r="A40" s="28" t="inlineStr">
        <is>
          <t>ENS</t>
        </is>
      </c>
      <c r="B40" s="29" t="inlineStr">
        <is>
          <t>2026-08-24</t>
        </is>
      </c>
      <c r="C40" s="11" t="n">
        <v>0</v>
      </c>
      <c r="D40" s="11" t="n">
        <v>0</v>
      </c>
      <c r="E40" s="36" t="n"/>
      <c r="F40" s="36" t="n">
        <v>0</v>
      </c>
      <c r="G40" s="11" t="inlineStr">
        <is>
          <t>INTERFACE</t>
        </is>
      </c>
      <c r="H40" s="33" t="inlineStr">
        <is>
          <t>ALTERAÇÃO</t>
        </is>
      </c>
      <c r="I40" s="32" t="inlineStr">
        <is>
          <t>ensemble@thyssenkruppelevadores.com.br</t>
        </is>
      </c>
      <c r="J40" s="33" t="inlineStr">
        <is>
          <t>Giovani Perotto Mesquita</t>
        </is>
      </c>
      <c r="K40" s="11">
        <f>_xlfn.XLOOKUP(Planilha!$J40,Tabela9[Pessoas],Tabela9[UUID Jira])</f>
        <v/>
      </c>
      <c r="L40" s="41" t="inlineStr">
        <is>
          <t>Luiz Felipe Brandão da Silva</t>
        </is>
      </c>
      <c r="M40" s="11">
        <f>_xlfn.XLOOKUP(Planilha!$L40,Tabela9[Pessoas],Tabela9[UUID Jira])</f>
        <v/>
      </c>
      <c r="N40" s="11" t="inlineStr">
        <is>
          <t>Epico 16</t>
        </is>
      </c>
      <c r="O40" s="11" t="inlineStr">
        <is>
          <t>Atividade 16</t>
        </is>
      </c>
      <c r="P40" s="11" t="inlineStr">
        <is>
          <t>Tarefa 16</t>
        </is>
      </c>
      <c r="Q40" s="11" t="inlineStr">
        <is>
          <t>Implementação</t>
        </is>
      </c>
      <c r="R40"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0" s="34" t="n">
        <v>2</v>
      </c>
      <c r="T40" s="11">
        <f>_xlfn.XLOOKUP(S40,Tabela4[Horas],Tabela4[Pontos],,1)</f>
        <v/>
      </c>
      <c r="U40" s="11" t="inlineStr">
        <is>
          <t>ENS-10930</t>
        </is>
      </c>
      <c r="V40" s="11" t="inlineStr">
        <is>
          <t>ENS-10931</t>
        </is>
      </c>
      <c r="W40" s="11" t="inlineStr">
        <is>
          <t>ENS-10932</t>
        </is>
      </c>
      <c r="X40" s="46" t="n"/>
      <c r="Y40" s="44">
        <f>HYPERLINK("https://tkebrasil.atlassian.net/browse/" &amp; U40,U40)</f>
        <v/>
      </c>
      <c r="Z40" s="44">
        <f>HYPERLINK("https://tkebrasil.atlassian.net/browse/" &amp; V40,V40)</f>
        <v/>
      </c>
      <c r="AA40" s="44">
        <f>HYPERLINK("https://tkebrasil.atlassian.net/browse/" &amp; W40,W40)</f>
        <v/>
      </c>
      <c r="AB40" s="46" t="n"/>
      <c r="AC40" s="47" t="n"/>
      <c r="AD40" s="47" t="inlineStr">
        <is>
          <t>BL</t>
        </is>
      </c>
    </row>
    <row r="41" ht="15" customHeight="1">
      <c r="A41" s="28" t="inlineStr">
        <is>
          <t>ENS</t>
        </is>
      </c>
      <c r="B41" s="29" t="inlineStr">
        <is>
          <t>2026-08-24</t>
        </is>
      </c>
      <c r="C41" s="11" t="n">
        <v>0</v>
      </c>
      <c r="D41" s="11" t="n">
        <v>0</v>
      </c>
      <c r="E41" s="36" t="n"/>
      <c r="F41" s="36" t="n">
        <v>0</v>
      </c>
      <c r="G41" s="11" t="inlineStr">
        <is>
          <t>INTERFACE</t>
        </is>
      </c>
      <c r="H41" s="33" t="inlineStr">
        <is>
          <t>ALTERAÇÃO</t>
        </is>
      </c>
      <c r="I41" s="32" t="inlineStr">
        <is>
          <t>ensemble@thyssenkruppelevadores.com.br</t>
        </is>
      </c>
      <c r="J41" s="33" t="inlineStr">
        <is>
          <t>Giovani Perotto Mesquita</t>
        </is>
      </c>
      <c r="K41" s="11">
        <f>_xlfn.XLOOKUP(Planilha!$J41,Tabela9[Pessoas],Tabela9[UUID Jira])</f>
        <v/>
      </c>
      <c r="L41" s="41" t="inlineStr">
        <is>
          <t>Luiz Felipe Brandão da Silva</t>
        </is>
      </c>
      <c r="M41" s="11">
        <f>_xlfn.XLOOKUP(Planilha!$L41,Tabela9[Pessoas],Tabela9[UUID Jira])</f>
        <v/>
      </c>
      <c r="N41" s="11" t="inlineStr">
        <is>
          <t>Epico 17</t>
        </is>
      </c>
      <c r="O41" s="11" t="inlineStr">
        <is>
          <t>Atividade 17</t>
        </is>
      </c>
      <c r="P41" s="11" t="inlineStr">
        <is>
          <t>Tarefa 17</t>
        </is>
      </c>
      <c r="Q41" s="11" t="inlineStr">
        <is>
          <t>Implementação</t>
        </is>
      </c>
      <c r="R41"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1" s="34" t="n">
        <v>2</v>
      </c>
      <c r="T41" s="11">
        <f>_xlfn.XLOOKUP(S41,Tabela4[Horas],Tabela4[Pontos],,1)</f>
        <v/>
      </c>
      <c r="U41" s="11" t="inlineStr">
        <is>
          <t>ENS-10933</t>
        </is>
      </c>
      <c r="V41" s="11" t="inlineStr">
        <is>
          <t>ENS-10934</t>
        </is>
      </c>
      <c r="W41" s="11" t="inlineStr">
        <is>
          <t>ENS-10935</t>
        </is>
      </c>
      <c r="X41" s="46" t="n"/>
      <c r="Y41" s="44">
        <f>HYPERLINK("https://tkebrasil.atlassian.net/browse/" &amp; U41,U41)</f>
        <v/>
      </c>
      <c r="Z41" s="44">
        <f>HYPERLINK("https://tkebrasil.atlassian.net/browse/" &amp; V41,V41)</f>
        <v/>
      </c>
      <c r="AA41" s="44">
        <f>HYPERLINK("https://tkebrasil.atlassian.net/browse/" &amp; W41,W41)</f>
        <v/>
      </c>
      <c r="AB41" s="46" t="n"/>
      <c r="AC41" s="47" t="n"/>
      <c r="AD41" s="47" t="inlineStr">
        <is>
          <t>BL</t>
        </is>
      </c>
    </row>
    <row r="42" ht="15" customHeight="1">
      <c r="A42" s="28" t="inlineStr">
        <is>
          <t>ENS</t>
        </is>
      </c>
      <c r="B42" s="29" t="inlineStr">
        <is>
          <t>2026-08-24</t>
        </is>
      </c>
      <c r="C42" s="11" t="n">
        <v>0</v>
      </c>
      <c r="D42" s="11" t="n">
        <v>0</v>
      </c>
      <c r="E42" s="36" t="n"/>
      <c r="F42" s="36" t="n">
        <v>0</v>
      </c>
      <c r="G42" s="11" t="inlineStr">
        <is>
          <t>INTERFACE</t>
        </is>
      </c>
      <c r="H42" s="33" t="inlineStr">
        <is>
          <t>ALTERAÇÃO</t>
        </is>
      </c>
      <c r="I42" s="32" t="inlineStr">
        <is>
          <t>ensemble@thyssenkruppelevadores.com.br</t>
        </is>
      </c>
      <c r="J42" s="33" t="inlineStr">
        <is>
          <t>Giovani Perotto Mesquita</t>
        </is>
      </c>
      <c r="K42" s="11">
        <f>_xlfn.XLOOKUP(Planilha!$J42,Tabela9[Pessoas],Tabela9[UUID Jira])</f>
        <v/>
      </c>
      <c r="L42" s="41" t="inlineStr">
        <is>
          <t>Luiz Felipe Brandão da Silva</t>
        </is>
      </c>
      <c r="M42" s="11">
        <f>_xlfn.XLOOKUP(Planilha!$L42,Tabela9[Pessoas],Tabela9[UUID Jira])</f>
        <v/>
      </c>
      <c r="N42" s="11" t="inlineStr">
        <is>
          <t>Epico 18</t>
        </is>
      </c>
      <c r="O42" s="11" t="inlineStr">
        <is>
          <t>Atividade 18</t>
        </is>
      </c>
      <c r="P42" s="11" t="inlineStr">
        <is>
          <t>Tarefa 18</t>
        </is>
      </c>
      <c r="Q42" s="11" t="inlineStr">
        <is>
          <t>Implementação</t>
        </is>
      </c>
      <c r="R42"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2" s="34" t="n">
        <v>2</v>
      </c>
      <c r="T42" s="11">
        <f>_xlfn.XLOOKUP(S42,Tabela4[Horas],Tabela4[Pontos],,1)</f>
        <v/>
      </c>
      <c r="U42" s="11" t="inlineStr">
        <is>
          <t>ENS-10936</t>
        </is>
      </c>
      <c r="V42" s="11" t="inlineStr">
        <is>
          <t>ENS-10937</t>
        </is>
      </c>
      <c r="W42" s="11" t="inlineStr">
        <is>
          <t>ENS-10938</t>
        </is>
      </c>
      <c r="X42" s="46" t="n"/>
      <c r="Y42" s="44">
        <f>HYPERLINK("https://tkebrasil.atlassian.net/browse/" &amp; U42,U42)</f>
        <v/>
      </c>
      <c r="Z42" s="44">
        <f>HYPERLINK("https://tkebrasil.atlassian.net/browse/" &amp; V42,V42)</f>
        <v/>
      </c>
      <c r="AA42" s="44">
        <f>HYPERLINK("https://tkebrasil.atlassian.net/browse/" &amp; W42,W42)</f>
        <v/>
      </c>
      <c r="AB42" s="46" t="n"/>
      <c r="AC42" s="47" t="n"/>
      <c r="AD42" s="47" t="inlineStr">
        <is>
          <t>BL</t>
        </is>
      </c>
    </row>
    <row r="43" ht="15" customHeight="1">
      <c r="A43" s="28" t="inlineStr">
        <is>
          <t>ENS</t>
        </is>
      </c>
      <c r="B43" s="29" t="inlineStr">
        <is>
          <t>2026-08-24</t>
        </is>
      </c>
      <c r="C43" s="11" t="n">
        <v>0</v>
      </c>
      <c r="D43" s="11" t="n">
        <v>0</v>
      </c>
      <c r="E43" s="36" t="n"/>
      <c r="F43" s="36" t="n">
        <v>0</v>
      </c>
      <c r="G43" s="11" t="inlineStr">
        <is>
          <t>INTERFACE</t>
        </is>
      </c>
      <c r="H43" s="33" t="inlineStr">
        <is>
          <t>ALTERAÇÃO</t>
        </is>
      </c>
      <c r="I43" s="32" t="inlineStr">
        <is>
          <t>ensemble@thyssenkruppelevadores.com.br</t>
        </is>
      </c>
      <c r="J43" s="33" t="inlineStr">
        <is>
          <t>Giovani Perotto Mesquita</t>
        </is>
      </c>
      <c r="K43" s="11">
        <f>_xlfn.XLOOKUP(Planilha!$J43,Tabela9[Pessoas],Tabela9[UUID Jira])</f>
        <v/>
      </c>
      <c r="L43" s="41" t="inlineStr">
        <is>
          <t>Pablo Rocha</t>
        </is>
      </c>
      <c r="M43" s="11">
        <f>_xlfn.XLOOKUP(Planilha!$L43,Tabela9[Pessoas],Tabela9[UUID Jira])</f>
        <v/>
      </c>
      <c r="N43" s="11" t="inlineStr">
        <is>
          <t>Epico 19</t>
        </is>
      </c>
      <c r="O43" s="11" t="inlineStr">
        <is>
          <t>Atividade 19</t>
        </is>
      </c>
      <c r="P43" s="11" t="inlineStr">
        <is>
          <t>Tarefa 19</t>
        </is>
      </c>
      <c r="Q43" s="11" t="inlineStr">
        <is>
          <t>Implementação</t>
        </is>
      </c>
      <c r="R43"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3" s="34" t="n">
        <v>2</v>
      </c>
      <c r="T43" s="11">
        <f>_xlfn.XLOOKUP(S43,Tabela4[Horas],Tabela4[Pontos],,1)</f>
        <v/>
      </c>
      <c r="U43" s="11" t="inlineStr">
        <is>
          <t>ENS-10939</t>
        </is>
      </c>
      <c r="V43" s="11" t="inlineStr">
        <is>
          <t>ENS-10940</t>
        </is>
      </c>
      <c r="W43" s="11" t="inlineStr">
        <is>
          <t>ENS-10941</t>
        </is>
      </c>
      <c r="X43" s="46" t="n"/>
      <c r="Y43" s="44">
        <f>HYPERLINK("https://tkebrasil.atlassian.net/browse/" &amp; U43,U43)</f>
        <v/>
      </c>
      <c r="Z43" s="44">
        <f>HYPERLINK("https://tkebrasil.atlassian.net/browse/" &amp; V43,V43)</f>
        <v/>
      </c>
      <c r="AA43" s="44">
        <f>HYPERLINK("https://tkebrasil.atlassian.net/browse/" &amp; W43,W43)</f>
        <v/>
      </c>
      <c r="AB43" s="46" t="n"/>
      <c r="AC43" s="47" t="n"/>
      <c r="AD43" s="47" t="inlineStr">
        <is>
          <t>BL</t>
        </is>
      </c>
    </row>
    <row r="44" ht="15" customHeight="1">
      <c r="A44" s="28" t="inlineStr">
        <is>
          <t>ENS</t>
        </is>
      </c>
      <c r="B44" s="29" t="inlineStr">
        <is>
          <t>2026-08-24</t>
        </is>
      </c>
      <c r="C44" s="11" t="n">
        <v>0</v>
      </c>
      <c r="D44" s="11" t="n">
        <v>0</v>
      </c>
      <c r="E44" s="36" t="n"/>
      <c r="F44" s="36" t="n">
        <v>0</v>
      </c>
      <c r="G44" s="11" t="inlineStr">
        <is>
          <t>INTERFACE</t>
        </is>
      </c>
      <c r="H44" s="33" t="inlineStr">
        <is>
          <t>ALTERAÇÃO</t>
        </is>
      </c>
      <c r="I44" s="32" t="inlineStr">
        <is>
          <t>ensemble@thyssenkruppelevadores.com.br</t>
        </is>
      </c>
      <c r="J44" s="33" t="inlineStr">
        <is>
          <t>Giovani Perotto Mesquita</t>
        </is>
      </c>
      <c r="K44" s="11">
        <f>_xlfn.XLOOKUP(Planilha!$J44,Tabela9[Pessoas],Tabela9[UUID Jira])</f>
        <v/>
      </c>
      <c r="L44" s="41" t="inlineStr">
        <is>
          <t>Pablo Rocha</t>
        </is>
      </c>
      <c r="M44" s="11">
        <f>_xlfn.XLOOKUP(Planilha!$L44,Tabela9[Pessoas],Tabela9[UUID Jira])</f>
        <v/>
      </c>
      <c r="N44" s="11" t="inlineStr">
        <is>
          <t>Epico 20</t>
        </is>
      </c>
      <c r="O44" s="11" t="inlineStr">
        <is>
          <t>Atividade 20</t>
        </is>
      </c>
      <c r="P44" s="11" t="inlineStr">
        <is>
          <t>Tarefa 20</t>
        </is>
      </c>
      <c r="Q44" s="11" t="inlineStr">
        <is>
          <t>Implementação</t>
        </is>
      </c>
      <c r="R44"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4" s="34" t="n">
        <v>2</v>
      </c>
      <c r="T44" s="11">
        <f>_xlfn.XLOOKUP(S44,Tabela4[Horas],Tabela4[Pontos],,1)</f>
        <v/>
      </c>
      <c r="U44" s="11" t="inlineStr">
        <is>
          <t>ENS-10942</t>
        </is>
      </c>
      <c r="V44" s="11" t="inlineStr">
        <is>
          <t>ENS-10943</t>
        </is>
      </c>
      <c r="W44" s="11" t="inlineStr">
        <is>
          <t>ENS-10944</t>
        </is>
      </c>
      <c r="X44" s="46" t="n"/>
      <c r="Y44" s="44">
        <f>HYPERLINK("https://tkebrasil.atlassian.net/browse/" &amp; U44,U44)</f>
        <v/>
      </c>
      <c r="Z44" s="44">
        <f>HYPERLINK("https://tkebrasil.atlassian.net/browse/" &amp; V44,V44)</f>
        <v/>
      </c>
      <c r="AA44" s="44">
        <f>HYPERLINK("https://tkebrasil.atlassian.net/browse/" &amp; W44,W44)</f>
        <v/>
      </c>
      <c r="AB44" s="46" t="n"/>
      <c r="AC44" s="47" t="n"/>
      <c r="AD44" s="47" t="inlineStr">
        <is>
          <t>BL</t>
        </is>
      </c>
    </row>
    <row r="45" ht="15" customHeight="1">
      <c r="A45" s="28" t="inlineStr">
        <is>
          <t>ENS</t>
        </is>
      </c>
      <c r="B45" s="29" t="inlineStr">
        <is>
          <t>2026-08-24</t>
        </is>
      </c>
      <c r="C45" s="11" t="n">
        <v>0</v>
      </c>
      <c r="D45" s="11" t="n">
        <v>0</v>
      </c>
      <c r="E45" s="36" t="n"/>
      <c r="F45" s="36" t="n">
        <v>0</v>
      </c>
      <c r="G45" s="11" t="inlineStr">
        <is>
          <t>INTERFACE</t>
        </is>
      </c>
      <c r="H45" s="33" t="inlineStr">
        <is>
          <t>ALTERAÇÃO</t>
        </is>
      </c>
      <c r="I45" s="32" t="inlineStr">
        <is>
          <t>ensemble@thyssenkruppelevadores.com.br</t>
        </is>
      </c>
      <c r="J45" s="33" t="inlineStr">
        <is>
          <t>Giovani Perotto Mesquita</t>
        </is>
      </c>
      <c r="K45" s="11">
        <f>_xlfn.XLOOKUP(Planilha!$J45,Tabela9[Pessoas],Tabela9[UUID Jira])</f>
        <v/>
      </c>
      <c r="L45" s="41" t="inlineStr">
        <is>
          <t>Regina Albanus</t>
        </is>
      </c>
      <c r="M45" s="11">
        <f>_xlfn.XLOOKUP(Planilha!$L45,Tabela9[Pessoas],Tabela9[UUID Jira])</f>
        <v/>
      </c>
      <c r="N45" s="11" t="inlineStr">
        <is>
          <t>Epico 21</t>
        </is>
      </c>
      <c r="O45" s="11" t="inlineStr">
        <is>
          <t>Atividade 21</t>
        </is>
      </c>
      <c r="P45" s="11" t="inlineStr">
        <is>
          <t>Tarefa 21</t>
        </is>
      </c>
      <c r="Q45" s="11" t="inlineStr">
        <is>
          <t>Implementação</t>
        </is>
      </c>
      <c r="R45"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5" s="34" t="n">
        <v>2</v>
      </c>
      <c r="T45" s="11">
        <f>_xlfn.XLOOKUP(S45,Tabela4[Horas],Tabela4[Pontos],,1)</f>
        <v/>
      </c>
      <c r="U45" s="11" t="inlineStr">
        <is>
          <t>ENS-10945</t>
        </is>
      </c>
      <c r="V45" s="11" t="inlineStr">
        <is>
          <t>ENS-10946</t>
        </is>
      </c>
      <c r="W45" s="11" t="inlineStr">
        <is>
          <t>ENS-10947</t>
        </is>
      </c>
      <c r="X45" s="46" t="n"/>
      <c r="Y45" s="44">
        <f>HYPERLINK("https://tkebrasil.atlassian.net/browse/" &amp; U45,U45)</f>
        <v/>
      </c>
      <c r="Z45" s="44">
        <f>HYPERLINK("https://tkebrasil.atlassian.net/browse/" &amp; V45,V45)</f>
        <v/>
      </c>
      <c r="AA45" s="44">
        <f>HYPERLINK("https://tkebrasil.atlassian.net/browse/" &amp; W45,W45)</f>
        <v/>
      </c>
      <c r="AB45" s="46" t="n"/>
      <c r="AC45" s="47" t="n"/>
      <c r="AD45" s="47" t="inlineStr">
        <is>
          <t>BL</t>
        </is>
      </c>
    </row>
    <row r="46" ht="15" customHeight="1">
      <c r="A46" s="28" t="inlineStr">
        <is>
          <t>ENS</t>
        </is>
      </c>
      <c r="B46" s="29" t="inlineStr">
        <is>
          <t>2026-08-24</t>
        </is>
      </c>
      <c r="C46" s="11" t="n">
        <v>0</v>
      </c>
      <c r="D46" s="11" t="n">
        <v>0</v>
      </c>
      <c r="E46" s="36" t="n"/>
      <c r="F46" s="36" t="n">
        <v>0</v>
      </c>
      <c r="G46" s="11" t="inlineStr">
        <is>
          <t>INTERFACE</t>
        </is>
      </c>
      <c r="H46" s="33" t="inlineStr">
        <is>
          <t>ALTERAÇÃO</t>
        </is>
      </c>
      <c r="I46" s="32" t="inlineStr">
        <is>
          <t>ensemble@thyssenkruppelevadores.com.br</t>
        </is>
      </c>
      <c r="J46" s="33" t="inlineStr">
        <is>
          <t>Giovani Perotto Mesquita</t>
        </is>
      </c>
      <c r="K46" s="11">
        <f>_xlfn.XLOOKUP(Planilha!$J46,Tabela9[Pessoas],Tabela9[UUID Jira])</f>
        <v/>
      </c>
      <c r="L46" s="41" t="inlineStr">
        <is>
          <t>Regina Albanus</t>
        </is>
      </c>
      <c r="M46" s="11">
        <f>_xlfn.XLOOKUP(Planilha!$L46,Tabela9[Pessoas],Tabela9[UUID Jira])</f>
        <v/>
      </c>
      <c r="N46" s="11" t="inlineStr">
        <is>
          <t>Epico 22</t>
        </is>
      </c>
      <c r="O46" s="11" t="inlineStr">
        <is>
          <t>Atividade 22</t>
        </is>
      </c>
      <c r="P46" s="11" t="inlineStr">
        <is>
          <t>Tarefa 22</t>
        </is>
      </c>
      <c r="Q46" s="11" t="inlineStr">
        <is>
          <t>Implementação</t>
        </is>
      </c>
      <c r="R46"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6" s="34" t="n">
        <v>2</v>
      </c>
      <c r="T46" s="11">
        <f>_xlfn.XLOOKUP(S46,Tabela4[Horas],Tabela4[Pontos],,1)</f>
        <v/>
      </c>
      <c r="U46" s="11" t="inlineStr">
        <is>
          <t>ENS-10948</t>
        </is>
      </c>
      <c r="V46" s="11" t="inlineStr">
        <is>
          <t>ENS-10949</t>
        </is>
      </c>
      <c r="W46" s="11" t="inlineStr">
        <is>
          <t>ENS-10950</t>
        </is>
      </c>
      <c r="X46" s="46" t="n"/>
      <c r="Y46" s="44">
        <f>HYPERLINK("https://tkebrasil.atlassian.net/browse/" &amp; U46,U46)</f>
        <v/>
      </c>
      <c r="Z46" s="44">
        <f>HYPERLINK("https://tkebrasil.atlassian.net/browse/" &amp; V46,V46)</f>
        <v/>
      </c>
      <c r="AA46" s="44">
        <f>HYPERLINK("https://tkebrasil.atlassian.net/browse/" &amp; W46,W46)</f>
        <v/>
      </c>
      <c r="AB46" s="46" t="n"/>
      <c r="AC46" s="47" t="n"/>
      <c r="AD46" s="47" t="inlineStr">
        <is>
          <t>BL</t>
        </is>
      </c>
    </row>
    <row r="47" ht="15" customHeight="1">
      <c r="A47" s="28" t="inlineStr">
        <is>
          <t>ENS</t>
        </is>
      </c>
      <c r="B47" s="29" t="inlineStr">
        <is>
          <t>2026-08-24</t>
        </is>
      </c>
      <c r="C47" s="11" t="n">
        <v>0</v>
      </c>
      <c r="D47" s="11" t="n">
        <v>0</v>
      </c>
      <c r="E47" s="36" t="n"/>
      <c r="F47" s="36" t="n">
        <v>0</v>
      </c>
      <c r="G47" s="11" t="inlineStr">
        <is>
          <t>INTERFACE</t>
        </is>
      </c>
      <c r="H47" s="33" t="inlineStr">
        <is>
          <t>ALTERAÇÃO</t>
        </is>
      </c>
      <c r="I47" s="32" t="inlineStr">
        <is>
          <t>ensemble@thyssenkruppelevadores.com.br</t>
        </is>
      </c>
      <c r="J47" s="33" t="inlineStr">
        <is>
          <t>Giovani Perotto Mesquita</t>
        </is>
      </c>
      <c r="K47" s="11">
        <f>_xlfn.XLOOKUP(Planilha!$J47,Tabela9[Pessoas],Tabela9[UUID Jira])</f>
        <v/>
      </c>
      <c r="L47" s="41" t="inlineStr">
        <is>
          <t>Regina Albanus</t>
        </is>
      </c>
      <c r="M47" s="11">
        <f>_xlfn.XLOOKUP(Planilha!$L47,Tabela9[Pessoas],Tabela9[UUID Jira])</f>
        <v/>
      </c>
      <c r="N47" s="11" t="inlineStr">
        <is>
          <t>Epico 23</t>
        </is>
      </c>
      <c r="O47" s="11" t="inlineStr">
        <is>
          <t>Atividade 23</t>
        </is>
      </c>
      <c r="P47" s="11" t="inlineStr">
        <is>
          <t>Tarefa 23</t>
        </is>
      </c>
      <c r="Q47" s="11" t="inlineStr">
        <is>
          <t>Implementação</t>
        </is>
      </c>
      <c r="R47"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7" s="34" t="n">
        <v>2</v>
      </c>
      <c r="T47" s="11">
        <f>_xlfn.XLOOKUP(S47,Tabela4[Horas],Tabela4[Pontos],,1)</f>
        <v/>
      </c>
      <c r="U47" s="11" t="inlineStr">
        <is>
          <t>ENS-10951</t>
        </is>
      </c>
      <c r="V47" s="11" t="inlineStr">
        <is>
          <t>ENS-10952</t>
        </is>
      </c>
      <c r="W47" s="11" t="inlineStr">
        <is>
          <t>ENS-10953</t>
        </is>
      </c>
      <c r="X47" s="46" t="n"/>
      <c r="Y47" s="44">
        <f>HYPERLINK("https://tkebrasil.atlassian.net/browse/" &amp; U47,U47)</f>
        <v/>
      </c>
      <c r="Z47" s="44">
        <f>HYPERLINK("https://tkebrasil.atlassian.net/browse/" &amp; V47,V47)</f>
        <v/>
      </c>
      <c r="AA47" s="44">
        <f>HYPERLINK("https://tkebrasil.atlassian.net/browse/" &amp; W47,W47)</f>
        <v/>
      </c>
      <c r="AB47" s="46" t="n"/>
      <c r="AC47" s="47" t="n"/>
      <c r="AD47" s="47" t="inlineStr">
        <is>
          <t>BL</t>
        </is>
      </c>
    </row>
    <row r="48" ht="15" customHeight="1">
      <c r="A48" s="28" t="inlineStr">
        <is>
          <t>ENS</t>
        </is>
      </c>
      <c r="B48" s="29" t="inlineStr">
        <is>
          <t>2026-08-24</t>
        </is>
      </c>
      <c r="C48" s="11" t="n">
        <v>0</v>
      </c>
      <c r="D48" s="11" t="n">
        <v>0</v>
      </c>
      <c r="E48" s="36" t="n"/>
      <c r="F48" s="36" t="n">
        <v>0</v>
      </c>
      <c r="G48" s="11" t="inlineStr">
        <is>
          <t>INTERFACE</t>
        </is>
      </c>
      <c r="H48" s="33" t="inlineStr">
        <is>
          <t>ALTERAÇÃO</t>
        </is>
      </c>
      <c r="I48" s="32" t="inlineStr">
        <is>
          <t>ensemble@thyssenkruppelevadores.com.br</t>
        </is>
      </c>
      <c r="J48" s="33" t="inlineStr">
        <is>
          <t>Giovani Perotto Mesquita</t>
        </is>
      </c>
      <c r="K48" s="11">
        <f>_xlfn.XLOOKUP(Planilha!$J48,Tabela9[Pessoas],Tabela9[UUID Jira])</f>
        <v/>
      </c>
      <c r="L48" s="41" t="inlineStr">
        <is>
          <t>Regina Albanus</t>
        </is>
      </c>
      <c r="M48" s="11">
        <f>_xlfn.XLOOKUP(Planilha!$L48,Tabela9[Pessoas],Tabela9[UUID Jira])</f>
        <v/>
      </c>
      <c r="N48" s="11" t="inlineStr">
        <is>
          <t>Epico 24</t>
        </is>
      </c>
      <c r="O48" s="11" t="inlineStr">
        <is>
          <t>Atividade 24</t>
        </is>
      </c>
      <c r="P48" s="11" t="inlineStr">
        <is>
          <t>Tarefa 24</t>
        </is>
      </c>
      <c r="Q48" s="11" t="inlineStr">
        <is>
          <t>Implementação</t>
        </is>
      </c>
      <c r="R48"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8" s="34" t="n">
        <v>2</v>
      </c>
      <c r="T48" s="11">
        <f>_xlfn.XLOOKUP(S48,Tabela4[Horas],Tabela4[Pontos],,1)</f>
        <v/>
      </c>
      <c r="U48" s="11" t="inlineStr">
        <is>
          <t>ENS-10954</t>
        </is>
      </c>
      <c r="V48" s="11" t="inlineStr">
        <is>
          <t>ENS-10955</t>
        </is>
      </c>
      <c r="W48" s="11" t="inlineStr">
        <is>
          <t>ENS-10956</t>
        </is>
      </c>
      <c r="X48" s="46" t="n"/>
      <c r="Y48" s="44">
        <f>HYPERLINK("https://tkebrasil.atlassian.net/browse/" &amp; U48,U48)</f>
        <v/>
      </c>
      <c r="Z48" s="44">
        <f>HYPERLINK("https://tkebrasil.atlassian.net/browse/" &amp; V48,V48)</f>
        <v/>
      </c>
      <c r="AA48" s="44">
        <f>HYPERLINK("https://tkebrasil.atlassian.net/browse/" &amp; W48,W48)</f>
        <v/>
      </c>
      <c r="AB48" s="46" t="n"/>
      <c r="AC48" s="47" t="n"/>
      <c r="AD48" s="47" t="inlineStr">
        <is>
          <t>BL</t>
        </is>
      </c>
    </row>
    <row r="49" ht="15" customHeight="1">
      <c r="A49" s="28" t="inlineStr">
        <is>
          <t>ENS</t>
        </is>
      </c>
      <c r="B49" s="29" t="inlineStr">
        <is>
          <t>2026-08-24</t>
        </is>
      </c>
      <c r="C49" s="11" t="n">
        <v>0</v>
      </c>
      <c r="D49" s="11" t="n">
        <v>0</v>
      </c>
      <c r="E49" s="36" t="n"/>
      <c r="F49" s="36" t="n">
        <v>0</v>
      </c>
      <c r="G49" s="11" t="inlineStr">
        <is>
          <t>INTERFACE</t>
        </is>
      </c>
      <c r="H49" s="33" t="inlineStr">
        <is>
          <t>ALTERAÇÃO</t>
        </is>
      </c>
      <c r="I49" s="32" t="inlineStr">
        <is>
          <t>ensemble@thyssenkruppelevadores.com.br</t>
        </is>
      </c>
      <c r="J49" s="33" t="inlineStr">
        <is>
          <t>Giovani Perotto Mesquita</t>
        </is>
      </c>
      <c r="K49" s="11">
        <f>_xlfn.XLOOKUP(Planilha!$J49,Tabela9[Pessoas],Tabela9[UUID Jira])</f>
        <v/>
      </c>
      <c r="L49" s="41" t="inlineStr">
        <is>
          <t>Regina Albanus</t>
        </is>
      </c>
      <c r="M49" s="11">
        <f>_xlfn.XLOOKUP(Planilha!$L49,Tabela9[Pessoas],Tabela9[UUID Jira])</f>
        <v/>
      </c>
      <c r="N49" s="11" t="inlineStr">
        <is>
          <t>Epico 25</t>
        </is>
      </c>
      <c r="O49" s="11" t="inlineStr">
        <is>
          <t>Atividade 25</t>
        </is>
      </c>
      <c r="P49" s="11" t="inlineStr">
        <is>
          <t>Tarefa 25</t>
        </is>
      </c>
      <c r="Q49" s="11" t="inlineStr">
        <is>
          <t>Implementação</t>
        </is>
      </c>
      <c r="R49"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9" s="34" t="n">
        <v>2</v>
      </c>
      <c r="T49" s="11">
        <f>_xlfn.XLOOKUP(S49,Tabela4[Horas],Tabela4[Pontos],,1)</f>
        <v/>
      </c>
      <c r="U49" s="11" t="inlineStr">
        <is>
          <t>ENS-10957</t>
        </is>
      </c>
      <c r="V49" s="11" t="inlineStr">
        <is>
          <t>ENS-10958</t>
        </is>
      </c>
      <c r="W49" s="11" t="inlineStr">
        <is>
          <t>ENS-10959</t>
        </is>
      </c>
      <c r="X49" s="46" t="n"/>
      <c r="Y49" s="44">
        <f>HYPERLINK("https://tkebrasil.atlassian.net/browse/" &amp; U49,U49)</f>
        <v/>
      </c>
      <c r="Z49" s="44">
        <f>HYPERLINK("https://tkebrasil.atlassian.net/browse/" &amp; V49,V49)</f>
        <v/>
      </c>
      <c r="AA49" s="44">
        <f>HYPERLINK("https://tkebrasil.atlassian.net/browse/" &amp; W49,W49)</f>
        <v/>
      </c>
      <c r="AB49" s="46" t="n"/>
      <c r="AC49" s="47" t="n"/>
      <c r="AD49" s="47" t="inlineStr">
        <is>
          <t>BL</t>
        </is>
      </c>
    </row>
    <row r="50" ht="15" customHeight="1">
      <c r="A50" s="28" t="inlineStr">
        <is>
          <t>ENS</t>
        </is>
      </c>
      <c r="B50" s="29" t="inlineStr">
        <is>
          <t>2026-08-24</t>
        </is>
      </c>
      <c r="C50" s="11" t="n">
        <v>0</v>
      </c>
      <c r="D50" s="11" t="n">
        <v>0</v>
      </c>
      <c r="E50" s="36" t="n"/>
      <c r="F50" s="36" t="n">
        <v>0</v>
      </c>
      <c r="G50" s="11" t="inlineStr">
        <is>
          <t>INTERFACE</t>
        </is>
      </c>
      <c r="H50" s="33" t="inlineStr">
        <is>
          <t>ALTERAÇÃO</t>
        </is>
      </c>
      <c r="I50" s="32" t="inlineStr">
        <is>
          <t>ensemble@thyssenkruppelevadores.com.br</t>
        </is>
      </c>
      <c r="J50" s="33" t="inlineStr">
        <is>
          <t>Giovani Perotto Mesquita</t>
        </is>
      </c>
      <c r="K50" s="11">
        <f>_xlfn.XLOOKUP(Planilha!$J50,Tabela9[Pessoas],Tabela9[UUID Jira])</f>
        <v/>
      </c>
      <c r="L50" s="41" t="inlineStr">
        <is>
          <t>Regina Albanus</t>
        </is>
      </c>
      <c r="M50" s="11">
        <f>_xlfn.XLOOKUP(Planilha!$L50,Tabela9[Pessoas],Tabela9[UUID Jira])</f>
        <v/>
      </c>
      <c r="N50" s="11" t="inlineStr">
        <is>
          <t>Epico 26</t>
        </is>
      </c>
      <c r="O50" s="11" t="inlineStr">
        <is>
          <t>Atividade 26</t>
        </is>
      </c>
      <c r="P50" s="11" t="inlineStr">
        <is>
          <t>Tarefa 26</t>
        </is>
      </c>
      <c r="Q50" s="11" t="inlineStr">
        <is>
          <t>Implementação</t>
        </is>
      </c>
      <c r="R50"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50" s="34" t="n">
        <v>2</v>
      </c>
      <c r="T50" s="11">
        <f>_xlfn.XLOOKUP(S50,Tabela4[Horas],Tabela4[Pontos],,1)</f>
        <v/>
      </c>
      <c r="U50" s="11" t="inlineStr">
        <is>
          <t>ENS-10960</t>
        </is>
      </c>
      <c r="V50" s="11" t="inlineStr">
        <is>
          <t>ENS-10961</t>
        </is>
      </c>
      <c r="W50" s="11" t="inlineStr">
        <is>
          <t>ENS-10962</t>
        </is>
      </c>
      <c r="X50" s="46" t="n"/>
      <c r="Y50" s="44">
        <f>HYPERLINK("https://tkebrasil.atlassian.net/browse/" &amp; U50,U50)</f>
        <v/>
      </c>
      <c r="Z50" s="44">
        <f>HYPERLINK("https://tkebrasil.atlassian.net/browse/" &amp; V50,V50)</f>
        <v/>
      </c>
      <c r="AA50" s="44">
        <f>HYPERLINK("https://tkebrasil.atlassian.net/browse/" &amp; W50,W50)</f>
        <v/>
      </c>
      <c r="AB50" s="46" t="n"/>
      <c r="AC50" s="47" t="n"/>
      <c r="AD50" s="47" t="inlineStr">
        <is>
          <t>BL</t>
        </is>
      </c>
    </row>
    <row r="51" ht="15" customHeight="1">
      <c r="A51" s="28" t="inlineStr">
        <is>
          <t>ENS</t>
        </is>
      </c>
      <c r="B51" s="29" t="inlineStr">
        <is>
          <t>2026-08-24</t>
        </is>
      </c>
      <c r="C51" s="11" t="n">
        <v>0</v>
      </c>
      <c r="D51" s="11" t="n">
        <v>0</v>
      </c>
      <c r="E51" s="36" t="n"/>
      <c r="F51" s="36" t="n">
        <v>0</v>
      </c>
      <c r="G51" s="11" t="inlineStr">
        <is>
          <t>INTERFACE</t>
        </is>
      </c>
      <c r="H51" s="33" t="inlineStr">
        <is>
          <t>ALTERAÇÃO</t>
        </is>
      </c>
      <c r="I51" s="32" t="inlineStr">
        <is>
          <t>ensemble@thyssenkruppelevadores.com.br</t>
        </is>
      </c>
      <c r="J51" s="33" t="inlineStr">
        <is>
          <t>Giovani Perotto Mesquita</t>
        </is>
      </c>
      <c r="K51" s="11">
        <f>_xlfn.XLOOKUP(Planilha!$J51,Tabela9[Pessoas],Tabela9[UUID Jira])</f>
        <v/>
      </c>
      <c r="L51" s="41" t="inlineStr">
        <is>
          <t>Regina Albanus</t>
        </is>
      </c>
      <c r="M51" s="11">
        <f>_xlfn.XLOOKUP(Planilha!$L51,Tabela9[Pessoas],Tabela9[UUID Jira])</f>
        <v/>
      </c>
      <c r="N51" s="11" t="inlineStr">
        <is>
          <t>Epico 27</t>
        </is>
      </c>
      <c r="O51" s="11" t="inlineStr">
        <is>
          <t>Atividade 27</t>
        </is>
      </c>
      <c r="P51" s="11" t="inlineStr">
        <is>
          <t>Tarefa 27</t>
        </is>
      </c>
      <c r="Q51" s="11" t="inlineStr">
        <is>
          <t>Implementação</t>
        </is>
      </c>
      <c r="R51"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51" s="34" t="n">
        <v>2</v>
      </c>
      <c r="T51" s="11">
        <f>_xlfn.XLOOKUP(S51,Tabela4[Horas],Tabela4[Pontos],,1)</f>
        <v/>
      </c>
      <c r="U51" s="11" t="inlineStr">
        <is>
          <t>ENS-10963</t>
        </is>
      </c>
      <c r="V51" s="11" t="inlineStr">
        <is>
          <t>ENS-10964</t>
        </is>
      </c>
      <c r="W51" s="11" t="inlineStr">
        <is>
          <t>ENS-10965</t>
        </is>
      </c>
      <c r="X51" s="46" t="n"/>
      <c r="Y51" s="44">
        <f>HYPERLINK("https://tkebrasil.atlassian.net/browse/" &amp; U51,U51)</f>
        <v/>
      </c>
      <c r="Z51" s="44">
        <f>HYPERLINK("https://tkebrasil.atlassian.net/browse/" &amp; V51,V51)</f>
        <v/>
      </c>
      <c r="AA51" s="44">
        <f>HYPERLINK("https://tkebrasil.atlassian.net/browse/" &amp; W51,W51)</f>
        <v/>
      </c>
      <c r="AB51" s="46" t="n"/>
      <c r="AC51" s="47" t="n"/>
      <c r="AD51" s="47" t="inlineStr">
        <is>
          <t>BL</t>
        </is>
      </c>
    </row>
    <row r="52" ht="15" customHeight="1">
      <c r="A52" s="28" t="inlineStr">
        <is>
          <t>ENS</t>
        </is>
      </c>
      <c r="B52" s="29" t="inlineStr">
        <is>
          <t>2026-08-24</t>
        </is>
      </c>
      <c r="C52" s="11" t="n">
        <v>0</v>
      </c>
      <c r="D52" s="11" t="n">
        <v>0</v>
      </c>
      <c r="E52" s="36" t="n"/>
      <c r="F52" s="36" t="n">
        <v>0</v>
      </c>
      <c r="G52" s="11" t="inlineStr">
        <is>
          <t>INTERFACE</t>
        </is>
      </c>
      <c r="H52" s="33" t="inlineStr">
        <is>
          <t>ALTERAÇÃO</t>
        </is>
      </c>
      <c r="I52" s="32" t="inlineStr">
        <is>
          <t>ensemble@thyssenkruppelevadores.com.br</t>
        </is>
      </c>
      <c r="J52" s="33" t="inlineStr">
        <is>
          <t>Giovani Perotto Mesquita</t>
        </is>
      </c>
      <c r="K52" s="11">
        <f>_xlfn.XLOOKUP(Planilha!$J52,Tabela9[Pessoas],Tabela9[UUID Jira])</f>
        <v/>
      </c>
      <c r="L52" s="41" t="inlineStr">
        <is>
          <t>Regina Albanus</t>
        </is>
      </c>
      <c r="M52" s="11">
        <f>_xlfn.XLOOKUP(Planilha!$L52,Tabela9[Pessoas],Tabela9[UUID Jira])</f>
        <v/>
      </c>
      <c r="N52" s="11" t="inlineStr">
        <is>
          <t>Epico 28</t>
        </is>
      </c>
      <c r="O52" s="11" t="inlineStr">
        <is>
          <t>Atividade 28</t>
        </is>
      </c>
      <c r="P52" s="11" t="inlineStr">
        <is>
          <t>Tarefa 28</t>
        </is>
      </c>
      <c r="Q52" s="11" t="inlineStr">
        <is>
          <t>Implementação</t>
        </is>
      </c>
      <c r="R52"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52" s="34" t="n">
        <v>2</v>
      </c>
      <c r="T52" s="11">
        <f>_xlfn.XLOOKUP(S52,Tabela4[Horas],Tabela4[Pontos],,1)</f>
        <v/>
      </c>
      <c r="U52" s="11" t="inlineStr">
        <is>
          <t>ENS-10966</t>
        </is>
      </c>
      <c r="V52" s="11" t="inlineStr">
        <is>
          <t>ENS-10967</t>
        </is>
      </c>
      <c r="W52" s="11" t="inlineStr">
        <is>
          <t>ENS-10968</t>
        </is>
      </c>
      <c r="X52" s="46" t="n"/>
      <c r="Y52" s="44">
        <f>HYPERLINK("https://tkebrasil.atlassian.net/browse/" &amp; U52,U52)</f>
        <v/>
      </c>
      <c r="Z52" s="44">
        <f>HYPERLINK("https://tkebrasil.atlassian.net/browse/" &amp; V52,V52)</f>
        <v/>
      </c>
      <c r="AA52" s="44">
        <f>HYPERLINK("https://tkebrasil.atlassian.net/browse/" &amp; W52,W52)</f>
        <v/>
      </c>
      <c r="AB52" s="46" t="n"/>
      <c r="AC52" s="47" t="n"/>
      <c r="AD52" s="47" t="inlineStr">
        <is>
          <t>BL</t>
        </is>
      </c>
    </row>
    <row r="53" ht="15" customHeight="1">
      <c r="A53" s="28" t="inlineStr">
        <is>
          <t>ENS</t>
        </is>
      </c>
      <c r="B53" s="29" t="inlineStr">
        <is>
          <t>2026-08-24</t>
        </is>
      </c>
      <c r="C53" s="11" t="n">
        <v>0</v>
      </c>
      <c r="D53" s="11" t="n">
        <v>0</v>
      </c>
      <c r="E53" s="36" t="n"/>
      <c r="F53" s="36" t="n">
        <v>0</v>
      </c>
      <c r="G53" s="11" t="inlineStr">
        <is>
          <t>INTERFACE</t>
        </is>
      </c>
      <c r="H53" s="33" t="inlineStr">
        <is>
          <t>ALTERAÇÃO</t>
        </is>
      </c>
      <c r="I53" s="32" t="inlineStr">
        <is>
          <t>ensemble@thyssenkruppelevadores.com.br</t>
        </is>
      </c>
      <c r="J53" s="33" t="inlineStr">
        <is>
          <t>Giovani Perotto Mesquita</t>
        </is>
      </c>
      <c r="K53" s="11">
        <f>_xlfn.XLOOKUP(Planilha!$J53,Tabela9[Pessoas],Tabela9[UUID Jira])</f>
        <v/>
      </c>
      <c r="L53" s="41" t="inlineStr">
        <is>
          <t>Regina Albanus</t>
        </is>
      </c>
      <c r="M53" s="11">
        <f>_xlfn.XLOOKUP(Planilha!$L53,Tabela9[Pessoas],Tabela9[UUID Jira])</f>
        <v/>
      </c>
      <c r="N53" s="11" t="inlineStr">
        <is>
          <t>Epico 29</t>
        </is>
      </c>
      <c r="O53" s="11" t="inlineStr">
        <is>
          <t>Atividade 29</t>
        </is>
      </c>
      <c r="P53" s="11" t="inlineStr">
        <is>
          <t>Tarefa 29</t>
        </is>
      </c>
      <c r="Q53" s="11" t="inlineStr">
        <is>
          <t>Implementação</t>
        </is>
      </c>
      <c r="R53"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53" s="34" t="n">
        <v>2</v>
      </c>
      <c r="T53" s="11">
        <f>_xlfn.XLOOKUP(S53,Tabela4[Horas],Tabela4[Pontos],,1)</f>
        <v/>
      </c>
      <c r="U53" s="11" t="inlineStr">
        <is>
          <t>ENS-10969</t>
        </is>
      </c>
      <c r="V53" s="11" t="inlineStr">
        <is>
          <t>ENS-10970</t>
        </is>
      </c>
      <c r="W53" s="11" t="inlineStr">
        <is>
          <t>ENS-10971</t>
        </is>
      </c>
      <c r="X53" s="46" t="n"/>
      <c r="Y53" s="44">
        <f>HYPERLINK("https://tkebrasil.atlassian.net/browse/" &amp; U53,U53)</f>
        <v/>
      </c>
      <c r="Z53" s="44">
        <f>HYPERLINK("https://tkebrasil.atlassian.net/browse/" &amp; V53,V53)</f>
        <v/>
      </c>
      <c r="AA53" s="44">
        <f>HYPERLINK("https://tkebrasil.atlassian.net/browse/" &amp; W53,W53)</f>
        <v/>
      </c>
      <c r="AB53" s="46" t="n"/>
      <c r="AC53" s="47" t="n"/>
      <c r="AD53" s="47" t="inlineStr">
        <is>
          <t>BL</t>
        </is>
      </c>
    </row>
  </sheetData>
  <autoFilter ref="A1:W53"/>
  <mergeCells count="1">
    <mergeCell ref="X1:AB1"/>
  </mergeCell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display="mailto:ensemble@thyssenkruppelevadores.com.br" r:id="rId6"/>
    <hyperlink xmlns:r="http://schemas.openxmlformats.org/officeDocument/2006/relationships" ref="I8" display="mailto:ensemble@thyssenkruppelevadores.com.br" r:id="rId7"/>
    <hyperlink xmlns:r="http://schemas.openxmlformats.org/officeDocument/2006/relationships" ref="I9" display="mailto:ensemble@thyssenkruppelevadores.com.br" r:id="rId8"/>
    <hyperlink xmlns:r="http://schemas.openxmlformats.org/officeDocument/2006/relationships" ref="I10" display="mailto:ensemble@thyssenkruppelevadores.com.br" r:id="rId9"/>
    <hyperlink xmlns:r="http://schemas.openxmlformats.org/officeDocument/2006/relationships" ref="D11" r:id="rId10"/>
    <hyperlink xmlns:r="http://schemas.openxmlformats.org/officeDocument/2006/relationships" ref="I11" display="mailto:ensemble@thyssenkruppelevadores.com.br" r:id="rId11"/>
    <hyperlink xmlns:r="http://schemas.openxmlformats.org/officeDocument/2006/relationships" ref="D12" r:id="rId12"/>
    <hyperlink xmlns:r="http://schemas.openxmlformats.org/officeDocument/2006/relationships" ref="I12" display="mailto:ensemble@thyssenkruppelevadores.com.br" r:id="rId13"/>
    <hyperlink xmlns:r="http://schemas.openxmlformats.org/officeDocument/2006/relationships" ref="I13" display="mailto:ensemble@thyssenkruppelevadores.com.br" r:id="rId14"/>
    <hyperlink xmlns:r="http://schemas.openxmlformats.org/officeDocument/2006/relationships" ref="I14" display="mailto:ensemble@thyssenkruppelevadores.com.br" r:id="rId15"/>
    <hyperlink xmlns:r="http://schemas.openxmlformats.org/officeDocument/2006/relationships" ref="D15" r:id="rId16"/>
    <hyperlink xmlns:r="http://schemas.openxmlformats.org/officeDocument/2006/relationships" ref="I15" display="mailto:ensemble@thyssenkruppelevadores.com.br" r:id="rId17"/>
    <hyperlink xmlns:r="http://schemas.openxmlformats.org/officeDocument/2006/relationships" ref="I16" display="mailto:ensemble@thyssenkruppelevadores.com.br" r:id="rId18"/>
    <hyperlink xmlns:r="http://schemas.openxmlformats.org/officeDocument/2006/relationships" ref="I17" display="mailto:ensemble@thyssenkruppelevadores.com.br" r:id="rId19"/>
    <hyperlink xmlns:r="http://schemas.openxmlformats.org/officeDocument/2006/relationships" ref="I18" display="mailto:ensemble@thyssenkruppelevadores.com.br" r:id="rId20"/>
    <hyperlink xmlns:r="http://schemas.openxmlformats.org/officeDocument/2006/relationships" ref="I19" display="mailto:ensemble@thyssenkruppelevadores.com.br" r:id="rId21"/>
    <hyperlink xmlns:r="http://schemas.openxmlformats.org/officeDocument/2006/relationships" ref="I20" r:id="rId22"/>
    <hyperlink xmlns:r="http://schemas.openxmlformats.org/officeDocument/2006/relationships" ref="I21" r:id="rId23"/>
    <hyperlink xmlns:r="http://schemas.openxmlformats.org/officeDocument/2006/relationships" ref="I22" r:id="rId24"/>
    <hyperlink xmlns:r="http://schemas.openxmlformats.org/officeDocument/2006/relationships" ref="I23" r:id="rId25"/>
    <hyperlink xmlns:r="http://schemas.openxmlformats.org/officeDocument/2006/relationships" ref="I24" r:id="rId26"/>
    <hyperlink xmlns:r="http://schemas.openxmlformats.org/officeDocument/2006/relationships" ref="I25" r:id="rId27"/>
    <hyperlink xmlns:r="http://schemas.openxmlformats.org/officeDocument/2006/relationships" ref="I26" r:id="rId28"/>
    <hyperlink xmlns:r="http://schemas.openxmlformats.org/officeDocument/2006/relationships" ref="I27" r:id="rId29"/>
    <hyperlink xmlns:r="http://schemas.openxmlformats.org/officeDocument/2006/relationships" ref="I28" r:id="rId30"/>
    <hyperlink xmlns:r="http://schemas.openxmlformats.org/officeDocument/2006/relationships" ref="I29" r:id="rId31"/>
    <hyperlink xmlns:r="http://schemas.openxmlformats.org/officeDocument/2006/relationships" ref="I30" r:id="rId32"/>
    <hyperlink xmlns:r="http://schemas.openxmlformats.org/officeDocument/2006/relationships" ref="I31" r:id="rId33"/>
    <hyperlink xmlns:r="http://schemas.openxmlformats.org/officeDocument/2006/relationships" ref="I32" r:id="rId34"/>
    <hyperlink xmlns:r="http://schemas.openxmlformats.org/officeDocument/2006/relationships" ref="I33" r:id="rId35"/>
    <hyperlink xmlns:r="http://schemas.openxmlformats.org/officeDocument/2006/relationships" ref="I34" r:id="rId36"/>
    <hyperlink xmlns:r="http://schemas.openxmlformats.org/officeDocument/2006/relationships" ref="I35" r:id="rId37"/>
    <hyperlink xmlns:r="http://schemas.openxmlformats.org/officeDocument/2006/relationships" ref="I36" r:id="rId38"/>
    <hyperlink xmlns:r="http://schemas.openxmlformats.org/officeDocument/2006/relationships" ref="I37" r:id="rId39"/>
    <hyperlink xmlns:r="http://schemas.openxmlformats.org/officeDocument/2006/relationships" ref="I38" r:id="rId40"/>
    <hyperlink xmlns:r="http://schemas.openxmlformats.org/officeDocument/2006/relationships" ref="I39" r:id="rId41"/>
    <hyperlink xmlns:r="http://schemas.openxmlformats.org/officeDocument/2006/relationships" ref="I40" r:id="rId42"/>
    <hyperlink xmlns:r="http://schemas.openxmlformats.org/officeDocument/2006/relationships" ref="I41" r:id="rId43"/>
    <hyperlink xmlns:r="http://schemas.openxmlformats.org/officeDocument/2006/relationships" ref="I42" r:id="rId44"/>
    <hyperlink xmlns:r="http://schemas.openxmlformats.org/officeDocument/2006/relationships" ref="I43" r:id="rId45"/>
    <hyperlink xmlns:r="http://schemas.openxmlformats.org/officeDocument/2006/relationships" ref="I44" r:id="rId46"/>
    <hyperlink xmlns:r="http://schemas.openxmlformats.org/officeDocument/2006/relationships" ref="I45" r:id="rId47"/>
    <hyperlink xmlns:r="http://schemas.openxmlformats.org/officeDocument/2006/relationships" ref="I46" r:id="rId48"/>
    <hyperlink xmlns:r="http://schemas.openxmlformats.org/officeDocument/2006/relationships" ref="I47" r:id="rId49"/>
    <hyperlink xmlns:r="http://schemas.openxmlformats.org/officeDocument/2006/relationships" ref="I48" r:id="rId50"/>
    <hyperlink xmlns:r="http://schemas.openxmlformats.org/officeDocument/2006/relationships" ref="I49" r:id="rId51"/>
    <hyperlink xmlns:r="http://schemas.openxmlformats.org/officeDocument/2006/relationships" ref="I50" r:id="rId52"/>
    <hyperlink xmlns:r="http://schemas.openxmlformats.org/officeDocument/2006/relationships" ref="I51" r:id="rId53"/>
    <hyperlink xmlns:r="http://schemas.openxmlformats.org/officeDocument/2006/relationships" ref="I52" r:id="rId54"/>
    <hyperlink xmlns:r="http://schemas.openxmlformats.org/officeDocument/2006/relationships" ref="I53" r:id="rId55"/>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F142"/>
  <sheetViews>
    <sheetView workbookViewId="0">
      <selection activeCell="B3" sqref="B3"/>
    </sheetView>
  </sheetViews>
  <sheetFormatPr baseColWidth="8" defaultRowHeight="14.4"/>
  <cols>
    <col width="10.88671875" bestFit="1" customWidth="1" style="78" min="1" max="1"/>
    <col width="15" bestFit="1" customWidth="1" min="2" max="2"/>
    <col width="15.6640625" bestFit="1" customWidth="1" min="3" max="3"/>
    <col width="25.109375" bestFit="1" customWidth="1" min="4" max="4"/>
    <col width="8.6640625" bestFit="1" customWidth="1" min="5" max="5"/>
    <col width="59" customWidth="1" style="70" min="6" max="6"/>
  </cols>
  <sheetData>
    <row r="1">
      <c r="A1" s="76" t="inlineStr">
        <is>
          <t>Jira</t>
        </is>
      </c>
      <c r="B1" s="71" t="inlineStr">
        <is>
          <t>Request</t>
        </is>
      </c>
      <c r="C1" s="71" t="inlineStr">
        <is>
          <t>Tasks</t>
        </is>
      </c>
      <c r="D1" s="71" t="inlineStr">
        <is>
          <t>Recurso</t>
        </is>
      </c>
      <c r="E1" s="71" t="inlineStr">
        <is>
          <t>Horas</t>
        </is>
      </c>
      <c r="F1" s="72" t="inlineStr">
        <is>
          <t>Descrição</t>
        </is>
      </c>
    </row>
    <row r="2">
      <c r="A2" s="77">
        <f>HYPERLINK("https://tkebrasil.atlassian.net/browse/" &amp; Planilha!AA2,Planilha!AA2)</f>
        <v/>
      </c>
      <c r="B2" s="73">
        <f>Planilha!C2</f>
        <v/>
      </c>
      <c r="C2" s="73">
        <f>Planilha!D2</f>
        <v/>
      </c>
      <c r="D2" s="73">
        <f>Planilha!L2</f>
        <v/>
      </c>
      <c r="E2" s="74">
        <f>Planilha!S2</f>
        <v/>
      </c>
      <c r="F2" s="75">
        <f>Planilha!P2</f>
        <v/>
      </c>
    </row>
    <row r="3">
      <c r="A3" s="77">
        <f>HYPERLINK("https://tkebrasil.atlassian.net/browse/" &amp; Planilha!AA3,Planilha!AA3)</f>
        <v/>
      </c>
      <c r="B3" s="73">
        <f>Planilha!C3</f>
        <v/>
      </c>
      <c r="C3" s="73">
        <f>Planilha!D3</f>
        <v/>
      </c>
      <c r="D3" s="73">
        <f>Planilha!L3</f>
        <v/>
      </c>
      <c r="E3" s="74">
        <f>Planilha!S3</f>
        <v/>
      </c>
      <c r="F3" s="75">
        <f>Planilha!P3</f>
        <v/>
      </c>
    </row>
    <row r="4">
      <c r="A4" s="77">
        <f>HYPERLINK("https://tkebrasil.atlassian.net/browse/" &amp; Planilha!AA4,Planilha!AA4)</f>
        <v/>
      </c>
      <c r="B4" s="73">
        <f>Planilha!C4</f>
        <v/>
      </c>
      <c r="C4" s="73">
        <f>Planilha!D4</f>
        <v/>
      </c>
      <c r="D4" s="73">
        <f>Planilha!L4</f>
        <v/>
      </c>
      <c r="E4" s="74">
        <f>Planilha!S4</f>
        <v/>
      </c>
      <c r="F4" s="75">
        <f>Planilha!P4</f>
        <v/>
      </c>
    </row>
    <row r="5">
      <c r="A5" s="77">
        <f>HYPERLINK("https://tkebrasil.atlassian.net/browse/" &amp; Planilha!AA5,Planilha!AA5)</f>
        <v/>
      </c>
      <c r="B5" s="73">
        <f>Planilha!C5</f>
        <v/>
      </c>
      <c r="C5" s="73">
        <f>Planilha!D5</f>
        <v/>
      </c>
      <c r="D5" s="73">
        <f>Planilha!L5</f>
        <v/>
      </c>
      <c r="E5" s="74">
        <f>Planilha!S5</f>
        <v/>
      </c>
      <c r="F5" s="75">
        <f>Planilha!P5</f>
        <v/>
      </c>
    </row>
    <row r="6">
      <c r="A6" s="77">
        <f>HYPERLINK("https://tkebrasil.atlassian.net/browse/" &amp; Planilha!AA6,Planilha!AA6)</f>
        <v/>
      </c>
      <c r="B6" s="73">
        <f>Planilha!C6</f>
        <v/>
      </c>
      <c r="C6" s="73">
        <f>Planilha!D6</f>
        <v/>
      </c>
      <c r="D6" s="73">
        <f>Planilha!L6</f>
        <v/>
      </c>
      <c r="E6" s="74">
        <f>Planilha!S6</f>
        <v/>
      </c>
      <c r="F6" s="75">
        <f>Planilha!P6</f>
        <v/>
      </c>
    </row>
    <row r="7">
      <c r="A7" s="77">
        <f>HYPERLINK("https://tkebrasil.atlassian.net/browse/" &amp; Planilha!AA7,Planilha!AA7)</f>
        <v/>
      </c>
      <c r="B7" s="73">
        <f>Planilha!C7</f>
        <v/>
      </c>
      <c r="C7" s="73">
        <f>Planilha!D7</f>
        <v/>
      </c>
      <c r="D7" s="73">
        <f>Planilha!L7</f>
        <v/>
      </c>
      <c r="E7" s="74">
        <f>Planilha!S7</f>
        <v/>
      </c>
      <c r="F7" s="75">
        <f>Planilha!P7</f>
        <v/>
      </c>
    </row>
    <row r="8">
      <c r="A8" s="77">
        <f>HYPERLINK("https://tkebrasil.atlassian.net/browse/" &amp; Planilha!AA8,Planilha!AA8)</f>
        <v/>
      </c>
      <c r="B8" s="73">
        <f>Planilha!C8</f>
        <v/>
      </c>
      <c r="C8" s="73">
        <f>Planilha!D8</f>
        <v/>
      </c>
      <c r="D8" s="73">
        <f>Planilha!L8</f>
        <v/>
      </c>
      <c r="E8" s="74">
        <f>Planilha!S8</f>
        <v/>
      </c>
      <c r="F8" s="75">
        <f>Planilha!P8</f>
        <v/>
      </c>
    </row>
    <row r="9">
      <c r="A9" s="77">
        <f>HYPERLINK("https://tkebrasil.atlassian.net/browse/" &amp; Planilha!AA9,Planilha!AA9)</f>
        <v/>
      </c>
      <c r="B9" s="73">
        <f>Planilha!C9</f>
        <v/>
      </c>
      <c r="C9" s="73">
        <f>Planilha!D9</f>
        <v/>
      </c>
      <c r="D9" s="73">
        <f>Planilha!L9</f>
        <v/>
      </c>
      <c r="E9" s="74">
        <f>Planilha!S9</f>
        <v/>
      </c>
      <c r="F9" s="75">
        <f>Planilha!P9</f>
        <v/>
      </c>
    </row>
    <row r="10">
      <c r="A10" s="77">
        <f>HYPERLINK("https://tkebrasil.atlassian.net/browse/" &amp; Planilha!AA10,Planilha!AA10)</f>
        <v/>
      </c>
      <c r="B10" s="73">
        <f>Planilha!C10</f>
        <v/>
      </c>
      <c r="C10" s="73">
        <f>Planilha!D10</f>
        <v/>
      </c>
      <c r="D10" s="73">
        <f>Planilha!L10</f>
        <v/>
      </c>
      <c r="E10" s="74">
        <f>Planilha!S10</f>
        <v/>
      </c>
      <c r="F10" s="75">
        <f>Planilha!P10</f>
        <v/>
      </c>
    </row>
    <row r="11">
      <c r="A11" s="77">
        <f>HYPERLINK("https://tkebrasil.atlassian.net/browse/" &amp; Planilha!AA11,Planilha!AA11)</f>
        <v/>
      </c>
      <c r="B11" s="73">
        <f>Planilha!C11</f>
        <v/>
      </c>
      <c r="C11" s="73">
        <f>Planilha!D11</f>
        <v/>
      </c>
      <c r="D11" s="73">
        <f>Planilha!L11</f>
        <v/>
      </c>
      <c r="E11" s="74">
        <f>Planilha!S11</f>
        <v/>
      </c>
      <c r="F11" s="75">
        <f>Planilha!P11</f>
        <v/>
      </c>
    </row>
    <row r="12" ht="90.75" customHeight="1">
      <c r="A12" s="77">
        <f>HYPERLINK("https://tkebrasil.atlassian.net/browse/" &amp; Planilha!AA12,Planilha!AA12)</f>
        <v/>
      </c>
      <c r="B12" s="73">
        <f>Planilha!C12</f>
        <v/>
      </c>
      <c r="C12" s="73">
        <f>Planilha!D12</f>
        <v/>
      </c>
      <c r="D12" s="73">
        <f>Planilha!L12</f>
        <v/>
      </c>
      <c r="E12" s="74">
        <f>Planilha!S12</f>
        <v/>
      </c>
      <c r="F12" s="75">
        <f>Planilha!P12</f>
        <v/>
      </c>
    </row>
    <row r="13">
      <c r="A13" s="77">
        <f>HYPERLINK("https://tkebrasil.atlassian.net/browse/" &amp; Planilha!AA13,Planilha!AA13)</f>
        <v/>
      </c>
      <c r="B13" s="73">
        <f>Planilha!C13</f>
        <v/>
      </c>
      <c r="C13" s="73">
        <f>Planilha!D13</f>
        <v/>
      </c>
      <c r="D13" s="73">
        <f>Planilha!L13</f>
        <v/>
      </c>
      <c r="E13" s="74">
        <f>Planilha!S13</f>
        <v/>
      </c>
      <c r="F13" s="75">
        <f>Planilha!P13</f>
        <v/>
      </c>
    </row>
    <row r="14">
      <c r="A14" s="77">
        <f>HYPERLINK("https://tkebrasil.atlassian.net/browse/" &amp; Planilha!AA14,Planilha!AA14)</f>
        <v/>
      </c>
      <c r="B14" s="73">
        <f>Planilha!C14</f>
        <v/>
      </c>
      <c r="C14" s="73">
        <f>Planilha!D14</f>
        <v/>
      </c>
      <c r="D14" s="73">
        <f>Planilha!L14</f>
        <v/>
      </c>
      <c r="E14" s="74">
        <f>Planilha!S14</f>
        <v/>
      </c>
      <c r="F14" s="75">
        <f>Planilha!P14</f>
        <v/>
      </c>
    </row>
    <row r="15">
      <c r="A15" s="77">
        <f>HYPERLINK("https://tkebrasil.atlassian.net/browse/" &amp; Planilha!AA15,Planilha!AA15)</f>
        <v/>
      </c>
      <c r="B15" s="73">
        <f>Planilha!C15</f>
        <v/>
      </c>
      <c r="C15" s="73">
        <f>Planilha!D15</f>
        <v/>
      </c>
      <c r="D15" s="73">
        <f>Planilha!L15</f>
        <v/>
      </c>
      <c r="E15" s="74">
        <f>Planilha!S15</f>
        <v/>
      </c>
      <c r="F15" s="75">
        <f>Planilha!P15</f>
        <v/>
      </c>
    </row>
    <row r="16">
      <c r="A16" s="77">
        <f>HYPERLINK("https://tkebrasil.atlassian.net/browse/" &amp; Planilha!AA16,Planilha!AA16)</f>
        <v/>
      </c>
      <c r="B16" s="73">
        <f>Planilha!C16</f>
        <v/>
      </c>
      <c r="C16" s="73">
        <f>Planilha!D16</f>
        <v/>
      </c>
      <c r="D16" s="73">
        <f>Planilha!L16</f>
        <v/>
      </c>
      <c r="E16" s="74">
        <f>Planilha!S16</f>
        <v/>
      </c>
      <c r="F16" s="75">
        <f>Planilha!P16</f>
        <v/>
      </c>
    </row>
    <row r="17">
      <c r="A17" s="77">
        <f>HYPERLINK("https://tkebrasil.atlassian.net/browse/" &amp; Planilha!AA17,Planilha!AA17)</f>
        <v/>
      </c>
      <c r="B17" s="73">
        <f>Planilha!C17</f>
        <v/>
      </c>
      <c r="C17" s="73">
        <f>Planilha!D17</f>
        <v/>
      </c>
      <c r="D17" s="73">
        <f>Planilha!L17</f>
        <v/>
      </c>
      <c r="E17" s="74">
        <f>Planilha!S17</f>
        <v/>
      </c>
      <c r="F17" s="75">
        <f>Planilha!P17</f>
        <v/>
      </c>
    </row>
    <row r="18">
      <c r="A18" s="77">
        <f>HYPERLINK("https://tkebrasil.atlassian.net/browse/" &amp; Planilha!AA18,Planilha!AA18)</f>
        <v/>
      </c>
      <c r="B18" s="73">
        <f>Planilha!C18</f>
        <v/>
      </c>
      <c r="C18" s="73">
        <f>Planilha!D18</f>
        <v/>
      </c>
      <c r="D18" s="73">
        <f>Planilha!L18</f>
        <v/>
      </c>
      <c r="E18" s="74">
        <f>Planilha!S18</f>
        <v/>
      </c>
      <c r="F18" s="75">
        <f>Planilha!P18</f>
        <v/>
      </c>
    </row>
    <row r="19">
      <c r="A19" s="77">
        <f>HYPERLINK("https://tkebrasil.atlassian.net/browse/" &amp; Planilha!AA19,Planilha!AA19)</f>
        <v/>
      </c>
      <c r="B19" s="73">
        <f>Planilha!C19</f>
        <v/>
      </c>
      <c r="C19" s="73">
        <f>Planilha!D19</f>
        <v/>
      </c>
      <c r="D19" s="73">
        <f>Planilha!L19</f>
        <v/>
      </c>
      <c r="E19" s="74">
        <f>Planilha!S19</f>
        <v/>
      </c>
      <c r="F19" s="75">
        <f>Planilha!P19</f>
        <v/>
      </c>
    </row>
    <row r="20">
      <c r="A20" s="77">
        <f>HYPERLINK("https://tkebrasil.atlassian.net/browse/" &amp; Planilha!#REF!,Planilha!#REF!)</f>
        <v/>
      </c>
      <c r="B20" s="73">
        <f>Planilha!#REF!</f>
        <v/>
      </c>
      <c r="C20" s="73">
        <f>Planilha!#REF!</f>
        <v/>
      </c>
      <c r="D20" s="73">
        <f>Planilha!#REF!</f>
        <v/>
      </c>
      <c r="E20" s="74">
        <f>Planilha!#REF!</f>
        <v/>
      </c>
      <c r="F20" s="75">
        <f>Planilha!#REF!</f>
        <v/>
      </c>
    </row>
    <row r="21">
      <c r="A21" s="77">
        <f>HYPERLINK("https://tkebrasil.atlassian.net/browse/" &amp; Planilha!AA20,Planilha!AA20)</f>
        <v/>
      </c>
      <c r="B21" s="73">
        <f>Planilha!C20</f>
        <v/>
      </c>
      <c r="C21" s="73">
        <f>Planilha!D20</f>
        <v/>
      </c>
      <c r="D21" s="73">
        <f>Planilha!L20</f>
        <v/>
      </c>
      <c r="E21" s="74">
        <f>Planilha!S20</f>
        <v/>
      </c>
      <c r="F21" s="75">
        <f>Planilha!P20</f>
        <v/>
      </c>
    </row>
    <row r="22">
      <c r="A22" s="77">
        <f>HYPERLINK("https://tkebrasil.atlassian.net/browse/" &amp; Planilha!AA21,Planilha!AA21)</f>
        <v/>
      </c>
      <c r="B22" s="73">
        <f>Planilha!C21</f>
        <v/>
      </c>
      <c r="C22" s="73">
        <f>Planilha!D21</f>
        <v/>
      </c>
      <c r="D22" s="73">
        <f>Planilha!L21</f>
        <v/>
      </c>
      <c r="E22" s="74">
        <f>Planilha!S21</f>
        <v/>
      </c>
      <c r="F22" s="75">
        <f>Planilha!P21</f>
        <v/>
      </c>
    </row>
    <row r="23">
      <c r="A23" s="77">
        <f>HYPERLINK("https://tkebrasil.atlassian.net/browse/" &amp; Planilha!AA22,Planilha!AA22)</f>
        <v/>
      </c>
      <c r="B23" s="73">
        <f>Planilha!C22</f>
        <v/>
      </c>
      <c r="C23" s="73">
        <f>Planilha!D22</f>
        <v/>
      </c>
      <c r="D23" s="73">
        <f>Planilha!L22</f>
        <v/>
      </c>
      <c r="E23" s="74">
        <f>Planilha!S22</f>
        <v/>
      </c>
      <c r="F23" s="75">
        <f>Planilha!P22</f>
        <v/>
      </c>
    </row>
    <row r="24">
      <c r="A24" s="77">
        <f>HYPERLINK("https://tkebrasil.atlassian.net/browse/" &amp; Planilha!AA23,Planilha!AA23)</f>
        <v/>
      </c>
      <c r="B24" s="73">
        <f>Planilha!C23</f>
        <v/>
      </c>
      <c r="C24" s="73">
        <f>Planilha!D23</f>
        <v/>
      </c>
      <c r="D24" s="73">
        <f>Planilha!L23</f>
        <v/>
      </c>
      <c r="E24" s="74">
        <f>Planilha!S23</f>
        <v/>
      </c>
      <c r="F24" s="75">
        <f>Planilha!P23</f>
        <v/>
      </c>
    </row>
    <row r="25">
      <c r="A25" s="77">
        <f>HYPERLINK("https://tkebrasil.atlassian.net/browse/" &amp; Planilha!AA24,Planilha!AA24)</f>
        <v/>
      </c>
      <c r="B25" s="73">
        <f>Planilha!C24</f>
        <v/>
      </c>
      <c r="C25" s="73">
        <f>Planilha!D24</f>
        <v/>
      </c>
      <c r="D25" s="73">
        <f>Planilha!L24</f>
        <v/>
      </c>
      <c r="E25" s="74">
        <f>Planilha!S24</f>
        <v/>
      </c>
      <c r="F25" s="75">
        <f>Planilha!P24</f>
        <v/>
      </c>
    </row>
    <row r="26">
      <c r="A26" s="77">
        <f>HYPERLINK("https://tkebrasil.atlassian.net/browse/" &amp; Planilha!AA25,Planilha!AA25)</f>
        <v/>
      </c>
      <c r="B26" s="73">
        <f>Planilha!C25</f>
        <v/>
      </c>
      <c r="C26" s="73">
        <f>Planilha!D25</f>
        <v/>
      </c>
      <c r="D26" s="73">
        <f>Planilha!L25</f>
        <v/>
      </c>
      <c r="E26" s="74">
        <f>Planilha!S25</f>
        <v/>
      </c>
      <c r="F26" s="75">
        <f>Planilha!P25</f>
        <v/>
      </c>
    </row>
    <row r="27">
      <c r="A27" s="77">
        <f>HYPERLINK("https://tkebrasil.atlassian.net/browse/" &amp; Planilha!AA26,Planilha!AA26)</f>
        <v/>
      </c>
      <c r="B27" s="73">
        <f>Planilha!C26</f>
        <v/>
      </c>
      <c r="C27" s="73">
        <f>Planilha!D26</f>
        <v/>
      </c>
      <c r="D27" s="73">
        <f>Planilha!L26</f>
        <v/>
      </c>
      <c r="E27" s="74">
        <f>Planilha!S26</f>
        <v/>
      </c>
      <c r="F27" s="75">
        <f>Planilha!P26</f>
        <v/>
      </c>
    </row>
    <row r="28">
      <c r="A28" s="77">
        <f>HYPERLINK("https://tkebrasil.atlassian.net/browse/" &amp; Planilha!AA27,Planilha!AA27)</f>
        <v/>
      </c>
      <c r="B28" s="73">
        <f>Planilha!C27</f>
        <v/>
      </c>
      <c r="C28" s="73">
        <f>Planilha!D27</f>
        <v/>
      </c>
      <c r="D28" s="73">
        <f>Planilha!L27</f>
        <v/>
      </c>
      <c r="E28" s="74">
        <f>Planilha!S27</f>
        <v/>
      </c>
      <c r="F28" s="75">
        <f>Planilha!P27</f>
        <v/>
      </c>
    </row>
    <row r="29">
      <c r="A29" s="77">
        <f>HYPERLINK("https://tkebrasil.atlassian.net/browse/" &amp; Planilha!AA28,Planilha!AA28)</f>
        <v/>
      </c>
      <c r="B29" s="73">
        <f>Planilha!C28</f>
        <v/>
      </c>
      <c r="C29" s="73">
        <f>Planilha!D28</f>
        <v/>
      </c>
      <c r="D29" s="73">
        <f>Planilha!L28</f>
        <v/>
      </c>
      <c r="E29" s="74">
        <f>Planilha!S28</f>
        <v/>
      </c>
      <c r="F29" s="75">
        <f>Planilha!P28</f>
        <v/>
      </c>
    </row>
    <row r="30">
      <c r="A30" s="77">
        <f>HYPERLINK("https://tkebrasil.atlassian.net/browse/" &amp; Planilha!AA29,Planilha!AA29)</f>
        <v/>
      </c>
      <c r="B30" s="73">
        <f>Planilha!C29</f>
        <v/>
      </c>
      <c r="C30" s="73">
        <f>Planilha!D29</f>
        <v/>
      </c>
      <c r="D30" s="73">
        <f>Planilha!L29</f>
        <v/>
      </c>
      <c r="E30" s="74">
        <f>Planilha!S29</f>
        <v/>
      </c>
      <c r="F30" s="75">
        <f>Planilha!P29</f>
        <v/>
      </c>
    </row>
    <row r="31">
      <c r="A31" s="77">
        <f>HYPERLINK("https://tkebrasil.atlassian.net/browse/" &amp; Planilha!AA30,Planilha!AA30)</f>
        <v/>
      </c>
      <c r="B31" s="73">
        <f>Planilha!C30</f>
        <v/>
      </c>
      <c r="C31" s="73">
        <f>Planilha!D30</f>
        <v/>
      </c>
      <c r="D31" s="73">
        <f>Planilha!L30</f>
        <v/>
      </c>
      <c r="E31" s="74">
        <f>Planilha!S30</f>
        <v/>
      </c>
      <c r="F31" s="75">
        <f>Planilha!P30</f>
        <v/>
      </c>
    </row>
    <row r="32">
      <c r="A32" s="77">
        <f>HYPERLINK("https://tkebrasil.atlassian.net/browse/" &amp; Planilha!AA31,Planilha!AA31)</f>
        <v/>
      </c>
      <c r="B32" s="73">
        <f>Planilha!C31</f>
        <v/>
      </c>
      <c r="C32" s="73">
        <f>Planilha!D31</f>
        <v/>
      </c>
      <c r="D32" s="73">
        <f>Planilha!L31</f>
        <v/>
      </c>
      <c r="E32" s="74">
        <f>Planilha!S31</f>
        <v/>
      </c>
      <c r="F32" s="75">
        <f>Planilha!P31</f>
        <v/>
      </c>
    </row>
    <row r="33">
      <c r="A33" s="77">
        <f>HYPERLINK("https://tkebrasil.atlassian.net/browse/" &amp; Planilha!AA32,Planilha!AA32)</f>
        <v/>
      </c>
      <c r="B33" s="73">
        <f>Planilha!C32</f>
        <v/>
      </c>
      <c r="C33" s="73">
        <f>Planilha!D32</f>
        <v/>
      </c>
      <c r="D33" s="73">
        <f>Planilha!L32</f>
        <v/>
      </c>
      <c r="E33" s="74">
        <f>Planilha!S32</f>
        <v/>
      </c>
      <c r="F33" s="75">
        <f>Planilha!P32</f>
        <v/>
      </c>
    </row>
    <row r="34">
      <c r="A34" s="77">
        <f>HYPERLINK("https://tkebrasil.atlassian.net/browse/" &amp; Planilha!AA33,Planilha!AA33)</f>
        <v/>
      </c>
      <c r="B34" s="73">
        <f>Planilha!C33</f>
        <v/>
      </c>
      <c r="C34" s="73">
        <f>Planilha!D33</f>
        <v/>
      </c>
      <c r="D34" s="73">
        <f>Planilha!L33</f>
        <v/>
      </c>
      <c r="E34" s="74">
        <f>Planilha!S33</f>
        <v/>
      </c>
      <c r="F34" s="75">
        <f>Planilha!P33</f>
        <v/>
      </c>
    </row>
    <row r="35">
      <c r="A35" s="77">
        <f>HYPERLINK("https://tkebrasil.atlassian.net/browse/" &amp; Planilha!AA34,Planilha!AA34)</f>
        <v/>
      </c>
      <c r="B35" s="73">
        <f>Planilha!C34</f>
        <v/>
      </c>
      <c r="C35" s="73">
        <f>Planilha!D34</f>
        <v/>
      </c>
      <c r="D35" s="73">
        <f>Planilha!L34</f>
        <v/>
      </c>
      <c r="E35" s="74">
        <f>Planilha!S34</f>
        <v/>
      </c>
      <c r="F35" s="75">
        <f>Planilha!P34</f>
        <v/>
      </c>
    </row>
    <row r="36">
      <c r="A36" s="77">
        <f>HYPERLINK("https://tkebrasil.atlassian.net/browse/" &amp; Planilha!AA35,Planilha!AA35)</f>
        <v/>
      </c>
      <c r="B36" s="73">
        <f>Planilha!C35</f>
        <v/>
      </c>
      <c r="C36" s="73">
        <f>Planilha!D35</f>
        <v/>
      </c>
      <c r="D36" s="73">
        <f>Planilha!L35</f>
        <v/>
      </c>
      <c r="E36" s="74">
        <f>Planilha!S35</f>
        <v/>
      </c>
      <c r="F36" s="75">
        <f>Planilha!P35</f>
        <v/>
      </c>
    </row>
    <row r="37">
      <c r="A37" s="77">
        <f>HYPERLINK("https://tkebrasil.atlassian.net/browse/" &amp; Planilha!AA36,Planilha!AA36)</f>
        <v/>
      </c>
      <c r="B37" s="73">
        <f>Planilha!C36</f>
        <v/>
      </c>
      <c r="C37" s="73">
        <f>Planilha!D36</f>
        <v/>
      </c>
      <c r="D37" s="73">
        <f>Planilha!L36</f>
        <v/>
      </c>
      <c r="E37" s="74">
        <f>Planilha!S36</f>
        <v/>
      </c>
      <c r="F37" s="75">
        <f>Planilha!P36</f>
        <v/>
      </c>
    </row>
    <row r="38">
      <c r="A38" s="77">
        <f>HYPERLINK("https://tkebrasil.atlassian.net/browse/" &amp; Planilha!AA37,Planilha!AA37)</f>
        <v/>
      </c>
      <c r="B38" s="73">
        <f>Planilha!C37</f>
        <v/>
      </c>
      <c r="C38" s="73">
        <f>Planilha!D37</f>
        <v/>
      </c>
      <c r="D38" s="73">
        <f>Planilha!L37</f>
        <v/>
      </c>
      <c r="E38" s="74">
        <f>Planilha!S37</f>
        <v/>
      </c>
      <c r="F38" s="75">
        <f>Planilha!P37</f>
        <v/>
      </c>
    </row>
    <row r="39">
      <c r="A39" s="77">
        <f>HYPERLINK("https://tkebrasil.atlassian.net/browse/" &amp; Planilha!AA38,Planilha!AA38)</f>
        <v/>
      </c>
      <c r="B39" s="73">
        <f>Planilha!C38</f>
        <v/>
      </c>
      <c r="C39" s="73">
        <f>Planilha!D38</f>
        <v/>
      </c>
      <c r="D39" s="73">
        <f>Planilha!L38</f>
        <v/>
      </c>
      <c r="E39" s="74">
        <f>Planilha!S38</f>
        <v/>
      </c>
      <c r="F39" s="75">
        <f>Planilha!P38</f>
        <v/>
      </c>
    </row>
    <row r="40">
      <c r="A40" s="77">
        <f>HYPERLINK("https://tkebrasil.atlassian.net/browse/" &amp; Planilha!AA39,Planilha!AA39)</f>
        <v/>
      </c>
      <c r="B40" s="73">
        <f>Planilha!C39</f>
        <v/>
      </c>
      <c r="C40" s="73">
        <f>Planilha!D39</f>
        <v/>
      </c>
      <c r="D40" s="73">
        <f>Planilha!L39</f>
        <v/>
      </c>
      <c r="E40" s="74">
        <f>Planilha!S39</f>
        <v/>
      </c>
      <c r="F40" s="75">
        <f>Planilha!P39</f>
        <v/>
      </c>
    </row>
    <row r="41">
      <c r="A41" s="77">
        <f>HYPERLINK("https://tkebrasil.atlassian.net/browse/" &amp; Planilha!AA40,Planilha!AA40)</f>
        <v/>
      </c>
      <c r="B41" s="73">
        <f>Planilha!C40</f>
        <v/>
      </c>
      <c r="C41" s="73">
        <f>Planilha!D40</f>
        <v/>
      </c>
      <c r="D41" s="73">
        <f>Planilha!L40</f>
        <v/>
      </c>
      <c r="E41" s="74">
        <f>Planilha!S40</f>
        <v/>
      </c>
      <c r="F41" s="75">
        <f>Planilha!P40</f>
        <v/>
      </c>
    </row>
    <row r="42">
      <c r="A42" s="77">
        <f>HYPERLINK("https://tkebrasil.atlassian.net/browse/" &amp; Planilha!AA41,Planilha!AA41)</f>
        <v/>
      </c>
      <c r="B42" s="73">
        <f>Planilha!C41</f>
        <v/>
      </c>
      <c r="C42" s="73">
        <f>Planilha!D41</f>
        <v/>
      </c>
      <c r="D42" s="73">
        <f>Planilha!L41</f>
        <v/>
      </c>
      <c r="E42" s="74">
        <f>Planilha!S41</f>
        <v/>
      </c>
      <c r="F42" s="75">
        <f>Planilha!P41</f>
        <v/>
      </c>
    </row>
    <row r="43">
      <c r="A43" s="77">
        <f>HYPERLINK("https://tkebrasil.atlassian.net/browse/" &amp; Planilha!AA42,Planilha!AA42)</f>
        <v/>
      </c>
      <c r="B43" s="73">
        <f>Planilha!C42</f>
        <v/>
      </c>
      <c r="C43" s="73">
        <f>Planilha!D42</f>
        <v/>
      </c>
      <c r="D43" s="73">
        <f>Planilha!L42</f>
        <v/>
      </c>
      <c r="E43" s="74">
        <f>Planilha!S42</f>
        <v/>
      </c>
      <c r="F43" s="75">
        <f>Planilha!P42</f>
        <v/>
      </c>
    </row>
    <row r="44">
      <c r="A44" s="77">
        <f>HYPERLINK("https://tkebrasil.atlassian.net/browse/" &amp; Planilha!AA43,Planilha!AA43)</f>
        <v/>
      </c>
      <c r="B44" s="73">
        <f>Planilha!C43</f>
        <v/>
      </c>
      <c r="C44" s="73">
        <f>Planilha!D43</f>
        <v/>
      </c>
      <c r="D44" s="73">
        <f>Planilha!L43</f>
        <v/>
      </c>
      <c r="E44" s="74">
        <f>Planilha!S43</f>
        <v/>
      </c>
      <c r="F44" s="75">
        <f>Planilha!P43</f>
        <v/>
      </c>
    </row>
    <row r="45">
      <c r="A45" s="77">
        <f>HYPERLINK("https://tkebrasil.atlassian.net/browse/" &amp; Planilha!AA44,Planilha!AA44)</f>
        <v/>
      </c>
      <c r="B45" s="73">
        <f>Planilha!C44</f>
        <v/>
      </c>
      <c r="C45" s="73">
        <f>Planilha!D44</f>
        <v/>
      </c>
      <c r="D45" s="73">
        <f>Planilha!L44</f>
        <v/>
      </c>
      <c r="E45" s="74">
        <f>Planilha!S44</f>
        <v/>
      </c>
      <c r="F45" s="75">
        <f>Planilha!P44</f>
        <v/>
      </c>
    </row>
    <row r="46">
      <c r="A46" s="77">
        <f>HYPERLINK("https://tkebrasil.atlassian.net/browse/" &amp; Planilha!AA45,Planilha!AA45)</f>
        <v/>
      </c>
      <c r="B46" s="73">
        <f>Planilha!C45</f>
        <v/>
      </c>
      <c r="C46" s="73">
        <f>Planilha!D45</f>
        <v/>
      </c>
      <c r="D46" s="73">
        <f>Planilha!L45</f>
        <v/>
      </c>
      <c r="E46" s="74">
        <f>Planilha!S45</f>
        <v/>
      </c>
      <c r="F46" s="75">
        <f>Planilha!P45</f>
        <v/>
      </c>
    </row>
    <row r="47">
      <c r="A47" s="77">
        <f>HYPERLINK("https://tkebrasil.atlassian.net/browse/" &amp; Planilha!AA46,Planilha!AA46)</f>
        <v/>
      </c>
      <c r="B47" s="73">
        <f>Planilha!C46</f>
        <v/>
      </c>
      <c r="C47" s="73">
        <f>Planilha!D46</f>
        <v/>
      </c>
      <c r="D47" s="73">
        <f>Planilha!L46</f>
        <v/>
      </c>
      <c r="E47" s="74">
        <f>Planilha!S46</f>
        <v/>
      </c>
      <c r="F47" s="75">
        <f>Planilha!P46</f>
        <v/>
      </c>
    </row>
    <row r="48">
      <c r="A48" s="77">
        <f>HYPERLINK("https://tkebrasil.atlassian.net/browse/" &amp; Planilha!AA47,Planilha!AA47)</f>
        <v/>
      </c>
      <c r="B48" s="73">
        <f>Planilha!C47</f>
        <v/>
      </c>
      <c r="C48" s="73">
        <f>Planilha!D47</f>
        <v/>
      </c>
      <c r="D48" s="73">
        <f>Planilha!L47</f>
        <v/>
      </c>
      <c r="E48" s="74">
        <f>Planilha!S47</f>
        <v/>
      </c>
      <c r="F48" s="75">
        <f>Planilha!P47</f>
        <v/>
      </c>
    </row>
    <row r="49">
      <c r="A49" s="77">
        <f>HYPERLINK("https://tkebrasil.atlassian.net/browse/" &amp; Planilha!AA48,Planilha!AA48)</f>
        <v/>
      </c>
      <c r="B49" s="73">
        <f>Planilha!C48</f>
        <v/>
      </c>
      <c r="C49" s="73">
        <f>Planilha!D48</f>
        <v/>
      </c>
      <c r="D49" s="73">
        <f>Planilha!L48</f>
        <v/>
      </c>
      <c r="E49" s="74">
        <f>Planilha!S48</f>
        <v/>
      </c>
      <c r="F49" s="75">
        <f>Planilha!P48</f>
        <v/>
      </c>
    </row>
    <row r="50">
      <c r="A50" s="77">
        <f>HYPERLINK("https://tkebrasil.atlassian.net/browse/" &amp; Planilha!AA49,Planilha!AA49)</f>
        <v/>
      </c>
      <c r="B50" s="73">
        <f>Planilha!C49</f>
        <v/>
      </c>
      <c r="C50" s="73">
        <f>Planilha!D49</f>
        <v/>
      </c>
      <c r="D50" s="73">
        <f>Planilha!L49</f>
        <v/>
      </c>
      <c r="E50" s="74">
        <f>Planilha!S49</f>
        <v/>
      </c>
      <c r="F50" s="75">
        <f>Planilha!P49</f>
        <v/>
      </c>
    </row>
    <row r="51">
      <c r="A51" s="77">
        <f>HYPERLINK("https://tkebrasil.atlassian.net/browse/" &amp; Planilha!AA50,Planilha!AA50)</f>
        <v/>
      </c>
      <c r="B51" s="73">
        <f>Planilha!C50</f>
        <v/>
      </c>
      <c r="C51" s="73">
        <f>Planilha!D50</f>
        <v/>
      </c>
      <c r="D51" s="73">
        <f>Planilha!L50</f>
        <v/>
      </c>
      <c r="E51" s="74">
        <f>Planilha!S50</f>
        <v/>
      </c>
      <c r="F51" s="75">
        <f>Planilha!P50</f>
        <v/>
      </c>
    </row>
    <row r="52">
      <c r="A52" s="77">
        <f>HYPERLINK("https://tkebrasil.atlassian.net/browse/" &amp; Planilha!AA51,Planilha!AA51)</f>
        <v/>
      </c>
      <c r="B52" s="73">
        <f>Planilha!C51</f>
        <v/>
      </c>
      <c r="C52" s="73">
        <f>Planilha!D51</f>
        <v/>
      </c>
      <c r="D52" s="73">
        <f>Planilha!L51</f>
        <v/>
      </c>
      <c r="E52" s="74">
        <f>Planilha!S51</f>
        <v/>
      </c>
      <c r="F52" s="75">
        <f>Planilha!P51</f>
        <v/>
      </c>
    </row>
    <row r="53">
      <c r="A53" s="77">
        <f>HYPERLINK("https://tkebrasil.atlassian.net/browse/" &amp; Planilha!AA52,Planilha!AA52)</f>
        <v/>
      </c>
      <c r="B53" s="73">
        <f>Planilha!C52</f>
        <v/>
      </c>
      <c r="C53" s="73">
        <f>Planilha!D52</f>
        <v/>
      </c>
      <c r="D53" s="73">
        <f>Planilha!L52</f>
        <v/>
      </c>
      <c r="E53" s="74">
        <f>Planilha!S52</f>
        <v/>
      </c>
      <c r="F53" s="75">
        <f>Planilha!P52</f>
        <v/>
      </c>
    </row>
    <row r="54">
      <c r="A54" s="77">
        <f>HYPERLINK("https://tkebrasil.atlassian.net/browse/" &amp; Planilha!AA53,Planilha!AA53)</f>
        <v/>
      </c>
      <c r="B54" s="73">
        <f>Planilha!C53</f>
        <v/>
      </c>
      <c r="C54" s="73">
        <f>Planilha!D53</f>
        <v/>
      </c>
      <c r="D54" s="73">
        <f>Planilha!L53</f>
        <v/>
      </c>
      <c r="E54" s="74">
        <f>Planilha!S53</f>
        <v/>
      </c>
      <c r="F54" s="75">
        <f>Planilha!P53</f>
        <v/>
      </c>
    </row>
    <row r="55">
      <c r="A55" s="77">
        <f>HYPERLINK("https://tkebrasil.atlassian.net/browse/" &amp; Planilha!AA54,Planilha!AA54)</f>
        <v/>
      </c>
      <c r="B55" s="73">
        <f>Planilha!C54</f>
        <v/>
      </c>
      <c r="C55" s="73">
        <f>Planilha!D54</f>
        <v/>
      </c>
      <c r="D55" s="73">
        <f>Planilha!L54</f>
        <v/>
      </c>
      <c r="E55" s="74">
        <f>Planilha!S54</f>
        <v/>
      </c>
      <c r="F55" s="75">
        <f>Planilha!P54</f>
        <v/>
      </c>
    </row>
    <row r="56">
      <c r="A56" s="77">
        <f>HYPERLINK("https://tkebrasil.atlassian.net/browse/" &amp; Planilha!AA55,Planilha!AA55)</f>
        <v/>
      </c>
      <c r="B56" s="73">
        <f>Planilha!C55</f>
        <v/>
      </c>
      <c r="C56" s="73">
        <f>Planilha!D55</f>
        <v/>
      </c>
      <c r="D56" s="73">
        <f>Planilha!L55</f>
        <v/>
      </c>
      <c r="E56" s="74">
        <f>Planilha!S55</f>
        <v/>
      </c>
      <c r="F56" s="75">
        <f>Planilha!P55</f>
        <v/>
      </c>
    </row>
    <row r="57">
      <c r="A57" s="77">
        <f>HYPERLINK("https://tkebrasil.atlassian.net/browse/" &amp; Planilha!AA56,Planilha!AA56)</f>
        <v/>
      </c>
      <c r="B57" s="73">
        <f>Planilha!C56</f>
        <v/>
      </c>
      <c r="C57" s="73">
        <f>Planilha!D56</f>
        <v/>
      </c>
      <c r="D57" s="73">
        <f>Planilha!L56</f>
        <v/>
      </c>
      <c r="E57" s="74">
        <f>Planilha!S56</f>
        <v/>
      </c>
      <c r="F57" s="75">
        <f>Planilha!P56</f>
        <v/>
      </c>
    </row>
    <row r="58">
      <c r="A58" s="77">
        <f>HYPERLINK("https://tkebrasil.atlassian.net/browse/" &amp; Planilha!AA57,Planilha!AA57)</f>
        <v/>
      </c>
      <c r="B58" s="73">
        <f>Planilha!C57</f>
        <v/>
      </c>
      <c r="C58" s="73">
        <f>Planilha!D57</f>
        <v/>
      </c>
      <c r="D58" s="73">
        <f>Planilha!L57</f>
        <v/>
      </c>
      <c r="E58" s="74">
        <f>Planilha!S57</f>
        <v/>
      </c>
      <c r="F58" s="75">
        <f>Planilha!P57</f>
        <v/>
      </c>
    </row>
    <row r="59">
      <c r="A59" s="77">
        <f>HYPERLINK("https://tkebrasil.atlassian.net/browse/" &amp; Planilha!AA58,Planilha!AA58)</f>
        <v/>
      </c>
      <c r="B59" s="73">
        <f>Planilha!C58</f>
        <v/>
      </c>
      <c r="C59" s="73">
        <f>Planilha!D58</f>
        <v/>
      </c>
      <c r="D59" s="73">
        <f>Planilha!L58</f>
        <v/>
      </c>
      <c r="E59" s="74">
        <f>Planilha!S58</f>
        <v/>
      </c>
      <c r="F59" s="75">
        <f>Planilha!P58</f>
        <v/>
      </c>
    </row>
    <row r="60">
      <c r="A60" s="77">
        <f>HYPERLINK("https://tkebrasil.atlassian.net/browse/" &amp; Planilha!AA59,Planilha!AA59)</f>
        <v/>
      </c>
      <c r="B60" s="73">
        <f>Planilha!C59</f>
        <v/>
      </c>
      <c r="C60" s="73">
        <f>Planilha!D59</f>
        <v/>
      </c>
      <c r="D60" s="73">
        <f>Planilha!L59</f>
        <v/>
      </c>
      <c r="E60" s="74">
        <f>Planilha!S59</f>
        <v/>
      </c>
      <c r="F60" s="75">
        <f>Planilha!P59</f>
        <v/>
      </c>
    </row>
    <row r="61">
      <c r="A61" s="77">
        <f>HYPERLINK("https://tkebrasil.atlassian.net/browse/" &amp; Planilha!AA60,Planilha!AA60)</f>
        <v/>
      </c>
      <c r="B61" s="73">
        <f>Planilha!C60</f>
        <v/>
      </c>
      <c r="C61" s="73">
        <f>Planilha!D60</f>
        <v/>
      </c>
      <c r="D61" s="73">
        <f>Planilha!L60</f>
        <v/>
      </c>
      <c r="E61" s="74">
        <f>Planilha!S60</f>
        <v/>
      </c>
      <c r="F61" s="75">
        <f>Planilha!P60</f>
        <v/>
      </c>
    </row>
    <row r="62">
      <c r="A62" s="77">
        <f>HYPERLINK("https://tkebrasil.atlassian.net/browse/" &amp; Planilha!AA61,Planilha!AA61)</f>
        <v/>
      </c>
      <c r="B62" s="73">
        <f>Planilha!C61</f>
        <v/>
      </c>
      <c r="C62" s="73">
        <f>Planilha!D61</f>
        <v/>
      </c>
      <c r="D62" s="73">
        <f>Planilha!L61</f>
        <v/>
      </c>
      <c r="E62" s="74">
        <f>Planilha!S61</f>
        <v/>
      </c>
      <c r="F62" s="75">
        <f>Planilha!P61</f>
        <v/>
      </c>
    </row>
    <row r="63">
      <c r="A63" s="77">
        <f>HYPERLINK("https://tkebrasil.atlassian.net/browse/" &amp; Planilha!AA62,Planilha!AA62)</f>
        <v/>
      </c>
      <c r="B63" s="73">
        <f>Planilha!C62</f>
        <v/>
      </c>
      <c r="C63" s="73">
        <f>Planilha!D62</f>
        <v/>
      </c>
      <c r="D63" s="73">
        <f>Planilha!L62</f>
        <v/>
      </c>
      <c r="E63" s="74">
        <f>Planilha!S62</f>
        <v/>
      </c>
      <c r="F63" s="75">
        <f>Planilha!P62</f>
        <v/>
      </c>
    </row>
    <row r="64">
      <c r="A64" s="77">
        <f>HYPERLINK("https://tkebrasil.atlassian.net/browse/" &amp; Planilha!AA63,Planilha!AA63)</f>
        <v/>
      </c>
      <c r="B64" s="73">
        <f>Planilha!C63</f>
        <v/>
      </c>
      <c r="C64" s="73">
        <f>Planilha!D63</f>
        <v/>
      </c>
      <c r="D64" s="73">
        <f>Planilha!L63</f>
        <v/>
      </c>
      <c r="E64" s="74">
        <f>Planilha!S63</f>
        <v/>
      </c>
      <c r="F64" s="75">
        <f>Planilha!P63</f>
        <v/>
      </c>
    </row>
    <row r="65">
      <c r="A65" s="77">
        <f>HYPERLINK("https://tkebrasil.atlassian.net/browse/" &amp; Planilha!AA64,Planilha!AA64)</f>
        <v/>
      </c>
      <c r="B65" s="73">
        <f>Planilha!C64</f>
        <v/>
      </c>
      <c r="C65" s="73">
        <f>Planilha!D64</f>
        <v/>
      </c>
      <c r="D65" s="73">
        <f>Planilha!L64</f>
        <v/>
      </c>
      <c r="E65" s="74">
        <f>Planilha!S64</f>
        <v/>
      </c>
      <c r="F65" s="75">
        <f>Planilha!P64</f>
        <v/>
      </c>
    </row>
    <row r="66">
      <c r="A66" s="77">
        <f>HYPERLINK("https://tkebrasil.atlassian.net/browse/" &amp; Planilha!AA65,Planilha!AA65)</f>
        <v/>
      </c>
      <c r="B66" s="73">
        <f>Planilha!C65</f>
        <v/>
      </c>
      <c r="C66" s="73">
        <f>Planilha!D65</f>
        <v/>
      </c>
      <c r="D66" s="73">
        <f>Planilha!L65</f>
        <v/>
      </c>
      <c r="E66" s="74">
        <f>Planilha!S65</f>
        <v/>
      </c>
      <c r="F66" s="75">
        <f>Planilha!P65</f>
        <v/>
      </c>
    </row>
    <row r="67">
      <c r="A67" s="77">
        <f>HYPERLINK("https://tkebrasil.atlassian.net/browse/" &amp; Planilha!AA66,Planilha!AA66)</f>
        <v/>
      </c>
      <c r="B67" s="73">
        <f>Planilha!C66</f>
        <v/>
      </c>
      <c r="C67" s="73">
        <f>Planilha!D66</f>
        <v/>
      </c>
      <c r="D67" s="73">
        <f>Planilha!L66</f>
        <v/>
      </c>
      <c r="E67" s="74">
        <f>Planilha!S66</f>
        <v/>
      </c>
      <c r="F67" s="75">
        <f>Planilha!P66</f>
        <v/>
      </c>
    </row>
    <row r="68">
      <c r="A68" s="77">
        <f>HYPERLINK("https://tkebrasil.atlassian.net/browse/" &amp; Planilha!AA67,Planilha!AA67)</f>
        <v/>
      </c>
      <c r="B68" s="73">
        <f>Planilha!C67</f>
        <v/>
      </c>
      <c r="C68" s="73">
        <f>Planilha!D67</f>
        <v/>
      </c>
      <c r="D68" s="73">
        <f>Planilha!L67</f>
        <v/>
      </c>
      <c r="E68" s="74">
        <f>Planilha!S67</f>
        <v/>
      </c>
      <c r="F68" s="75">
        <f>Planilha!P67</f>
        <v/>
      </c>
    </row>
    <row r="69">
      <c r="A69" s="77">
        <f>HYPERLINK("https://tkebrasil.atlassian.net/browse/" &amp; Planilha!AA68,Planilha!AA68)</f>
        <v/>
      </c>
      <c r="B69" s="73">
        <f>Planilha!C68</f>
        <v/>
      </c>
      <c r="C69" s="73">
        <f>Planilha!D68</f>
        <v/>
      </c>
      <c r="D69" s="73">
        <f>Planilha!L68</f>
        <v/>
      </c>
      <c r="E69" s="74">
        <f>Planilha!S68</f>
        <v/>
      </c>
      <c r="F69" s="75">
        <f>Planilha!P68</f>
        <v/>
      </c>
    </row>
    <row r="70">
      <c r="A70" s="77">
        <f>HYPERLINK("https://tkebrasil.atlassian.net/browse/" &amp; Planilha!AA69,Planilha!AA69)</f>
        <v/>
      </c>
      <c r="B70" s="73">
        <f>Planilha!C69</f>
        <v/>
      </c>
      <c r="C70" s="73">
        <f>Planilha!D69</f>
        <v/>
      </c>
      <c r="D70" s="73">
        <f>Planilha!L69</f>
        <v/>
      </c>
      <c r="E70" s="74">
        <f>Planilha!S69</f>
        <v/>
      </c>
      <c r="F70" s="75">
        <f>Planilha!P69</f>
        <v/>
      </c>
    </row>
    <row r="71">
      <c r="A71" s="77">
        <f>HYPERLINK("https://tkebrasil.atlassian.net/browse/" &amp; Planilha!AA70,Planilha!AA70)</f>
        <v/>
      </c>
      <c r="B71" s="73">
        <f>Planilha!C70</f>
        <v/>
      </c>
      <c r="C71" s="73">
        <f>Planilha!D70</f>
        <v/>
      </c>
      <c r="D71" s="73">
        <f>Planilha!L70</f>
        <v/>
      </c>
      <c r="E71" s="74">
        <f>Planilha!S70</f>
        <v/>
      </c>
      <c r="F71" s="75">
        <f>Planilha!P70</f>
        <v/>
      </c>
    </row>
    <row r="72">
      <c r="A72" s="77">
        <f>HYPERLINK("https://tkebrasil.atlassian.net/browse/" &amp; Planilha!AA71,Planilha!AA71)</f>
        <v/>
      </c>
      <c r="B72" s="73">
        <f>Planilha!C71</f>
        <v/>
      </c>
      <c r="C72" s="73">
        <f>Planilha!D71</f>
        <v/>
      </c>
      <c r="D72" s="73">
        <f>Planilha!L71</f>
        <v/>
      </c>
      <c r="E72" s="74">
        <f>Planilha!S71</f>
        <v/>
      </c>
      <c r="F72" s="75">
        <f>Planilha!P71</f>
        <v/>
      </c>
    </row>
    <row r="73">
      <c r="A73" s="77">
        <f>HYPERLINK("https://tkebrasil.atlassian.net/browse/" &amp; Planilha!AA72,Planilha!AA72)</f>
        <v/>
      </c>
      <c r="B73" s="73">
        <f>Planilha!C72</f>
        <v/>
      </c>
      <c r="C73" s="73">
        <f>Planilha!D72</f>
        <v/>
      </c>
      <c r="D73" s="73">
        <f>Planilha!L72</f>
        <v/>
      </c>
      <c r="E73" s="74">
        <f>Planilha!S72</f>
        <v/>
      </c>
      <c r="F73" s="75">
        <f>Planilha!P72</f>
        <v/>
      </c>
    </row>
    <row r="74">
      <c r="A74" s="77">
        <f>HYPERLINK("https://tkebrasil.atlassian.net/browse/" &amp; Planilha!AA73,Planilha!AA73)</f>
        <v/>
      </c>
      <c r="B74" s="73">
        <f>Planilha!C73</f>
        <v/>
      </c>
      <c r="C74" s="73">
        <f>Planilha!D73</f>
        <v/>
      </c>
      <c r="D74" s="73">
        <f>Planilha!L73</f>
        <v/>
      </c>
      <c r="E74" s="74">
        <f>Planilha!S73</f>
        <v/>
      </c>
      <c r="F74" s="75">
        <f>Planilha!P73</f>
        <v/>
      </c>
    </row>
    <row r="75">
      <c r="A75" s="77">
        <f>HYPERLINK("https://tkebrasil.atlassian.net/browse/" &amp; Planilha!AA74,Planilha!AA74)</f>
        <v/>
      </c>
      <c r="B75" s="73">
        <f>Planilha!C74</f>
        <v/>
      </c>
      <c r="C75" s="73">
        <f>Planilha!D74</f>
        <v/>
      </c>
      <c r="D75" s="73">
        <f>Planilha!L74</f>
        <v/>
      </c>
      <c r="E75" s="74">
        <f>Planilha!S74</f>
        <v/>
      </c>
      <c r="F75" s="75">
        <f>Planilha!P74</f>
        <v/>
      </c>
    </row>
    <row r="76">
      <c r="A76" s="77">
        <f>HYPERLINK("https://tkebrasil.atlassian.net/browse/" &amp; Planilha!AA75,Planilha!AA75)</f>
        <v/>
      </c>
      <c r="B76" s="73">
        <f>Planilha!C75</f>
        <v/>
      </c>
      <c r="C76" s="73">
        <f>Planilha!D75</f>
        <v/>
      </c>
      <c r="D76" s="73">
        <f>Planilha!L75</f>
        <v/>
      </c>
      <c r="E76" s="74">
        <f>Planilha!S75</f>
        <v/>
      </c>
      <c r="F76" s="75">
        <f>Planilha!P75</f>
        <v/>
      </c>
    </row>
    <row r="77">
      <c r="A77" s="77">
        <f>HYPERLINK("https://tkebrasil.atlassian.net/browse/" &amp; Planilha!AA76,Planilha!AA76)</f>
        <v/>
      </c>
      <c r="B77" s="73">
        <f>Planilha!C76</f>
        <v/>
      </c>
      <c r="C77" s="73">
        <f>Planilha!D76</f>
        <v/>
      </c>
      <c r="D77" s="73">
        <f>Planilha!L76</f>
        <v/>
      </c>
      <c r="E77" s="74">
        <f>Planilha!S76</f>
        <v/>
      </c>
      <c r="F77" s="75">
        <f>Planilha!P76</f>
        <v/>
      </c>
    </row>
    <row r="78">
      <c r="A78" s="77">
        <f>HYPERLINK("https://tkebrasil.atlassian.net/browse/" &amp; Planilha!AA77,Planilha!AA77)</f>
        <v/>
      </c>
      <c r="B78" s="73">
        <f>Planilha!C77</f>
        <v/>
      </c>
      <c r="C78" s="73">
        <f>Planilha!D77</f>
        <v/>
      </c>
      <c r="D78" s="73">
        <f>Planilha!L77</f>
        <v/>
      </c>
      <c r="E78" s="74">
        <f>Planilha!S77</f>
        <v/>
      </c>
      <c r="F78" s="75">
        <f>Planilha!P77</f>
        <v/>
      </c>
    </row>
    <row r="79">
      <c r="A79" s="77">
        <f>HYPERLINK("https://tkebrasil.atlassian.net/browse/" &amp; Planilha!AA78,Planilha!AA78)</f>
        <v/>
      </c>
      <c r="B79" s="73">
        <f>Planilha!C78</f>
        <v/>
      </c>
      <c r="C79" s="73">
        <f>Planilha!D78</f>
        <v/>
      </c>
      <c r="D79" s="73">
        <f>Planilha!L78</f>
        <v/>
      </c>
      <c r="E79" s="74">
        <f>Planilha!S78</f>
        <v/>
      </c>
      <c r="F79" s="75">
        <f>Planilha!P78</f>
        <v/>
      </c>
    </row>
    <row r="80">
      <c r="A80" s="77">
        <f>HYPERLINK("https://tkebrasil.atlassian.net/browse/" &amp; Planilha!AA79,Planilha!AA79)</f>
        <v/>
      </c>
      <c r="B80" s="73">
        <f>Planilha!C79</f>
        <v/>
      </c>
      <c r="C80" s="73">
        <f>Planilha!D79</f>
        <v/>
      </c>
      <c r="D80" s="73">
        <f>Planilha!L79</f>
        <v/>
      </c>
      <c r="E80" s="74">
        <f>Planilha!S79</f>
        <v/>
      </c>
      <c r="F80" s="75">
        <f>Planilha!P79</f>
        <v/>
      </c>
    </row>
    <row r="81">
      <c r="A81" s="77">
        <f>HYPERLINK("https://tkebrasil.atlassian.net/browse/" &amp; Planilha!AA80,Planilha!AA80)</f>
        <v/>
      </c>
      <c r="B81" s="73">
        <f>Planilha!C80</f>
        <v/>
      </c>
      <c r="C81" s="73">
        <f>Planilha!D80</f>
        <v/>
      </c>
      <c r="D81" s="73">
        <f>Planilha!L80</f>
        <v/>
      </c>
      <c r="E81" s="74">
        <f>Planilha!S80</f>
        <v/>
      </c>
      <c r="F81" s="75">
        <f>Planilha!P80</f>
        <v/>
      </c>
    </row>
    <row r="82">
      <c r="A82" s="77">
        <f>HYPERLINK("https://tkebrasil.atlassian.net/browse/" &amp; Planilha!AA81,Planilha!AA81)</f>
        <v/>
      </c>
      <c r="B82" s="73">
        <f>Planilha!C81</f>
        <v/>
      </c>
      <c r="C82" s="73">
        <f>Planilha!D81</f>
        <v/>
      </c>
      <c r="D82" s="73">
        <f>Planilha!L81</f>
        <v/>
      </c>
      <c r="E82" s="74">
        <f>Planilha!S81</f>
        <v/>
      </c>
      <c r="F82" s="75">
        <f>Planilha!P81</f>
        <v/>
      </c>
    </row>
    <row r="83">
      <c r="A83" s="77">
        <f>HYPERLINK("https://tkebrasil.atlassian.net/browse/" &amp; Planilha!AA82,Planilha!AA82)</f>
        <v/>
      </c>
      <c r="B83" s="73">
        <f>Planilha!C82</f>
        <v/>
      </c>
      <c r="C83" s="73">
        <f>Planilha!D82</f>
        <v/>
      </c>
      <c r="D83" s="73">
        <f>Planilha!L82</f>
        <v/>
      </c>
      <c r="E83" s="74">
        <f>Planilha!S82</f>
        <v/>
      </c>
      <c r="F83" s="75">
        <f>Planilha!P82</f>
        <v/>
      </c>
    </row>
    <row r="84">
      <c r="A84" s="77">
        <f>HYPERLINK("https://tkebrasil.atlassian.net/browse/" &amp; Planilha!AA83,Planilha!AA83)</f>
        <v/>
      </c>
      <c r="B84" s="73">
        <f>Planilha!C83</f>
        <v/>
      </c>
      <c r="C84" s="73">
        <f>Planilha!D83</f>
        <v/>
      </c>
      <c r="D84" s="73">
        <f>Planilha!L83</f>
        <v/>
      </c>
      <c r="E84" s="74">
        <f>Planilha!S83</f>
        <v/>
      </c>
      <c r="F84" s="75">
        <f>Planilha!P83</f>
        <v/>
      </c>
    </row>
    <row r="85">
      <c r="A85" s="77">
        <f>HYPERLINK("https://tkebrasil.atlassian.net/browse/" &amp; Planilha!AA84,Planilha!AA84)</f>
        <v/>
      </c>
      <c r="B85" s="73">
        <f>Planilha!C84</f>
        <v/>
      </c>
      <c r="C85" s="73">
        <f>Planilha!D84</f>
        <v/>
      </c>
      <c r="D85" s="73">
        <f>Planilha!L84</f>
        <v/>
      </c>
      <c r="E85" s="74">
        <f>Planilha!S84</f>
        <v/>
      </c>
      <c r="F85" s="75">
        <f>Planilha!P84</f>
        <v/>
      </c>
    </row>
    <row r="86">
      <c r="A86" s="77">
        <f>HYPERLINK("https://tkebrasil.atlassian.net/browse/" &amp; Planilha!AA85,Planilha!AA85)</f>
        <v/>
      </c>
      <c r="B86" s="73">
        <f>Planilha!C85</f>
        <v/>
      </c>
      <c r="C86" s="73">
        <f>Planilha!D85</f>
        <v/>
      </c>
      <c r="D86" s="73">
        <f>Planilha!L85</f>
        <v/>
      </c>
      <c r="E86" s="74">
        <f>Planilha!S85</f>
        <v/>
      </c>
      <c r="F86" s="75">
        <f>Planilha!P85</f>
        <v/>
      </c>
    </row>
    <row r="87">
      <c r="A87" s="77">
        <f>HYPERLINK("https://tkebrasil.atlassian.net/browse/" &amp; Planilha!AA86,Planilha!AA86)</f>
        <v/>
      </c>
      <c r="B87" s="73">
        <f>Planilha!C86</f>
        <v/>
      </c>
      <c r="C87" s="73">
        <f>Planilha!D86</f>
        <v/>
      </c>
      <c r="D87" s="73">
        <f>Planilha!L86</f>
        <v/>
      </c>
      <c r="E87" s="74">
        <f>Planilha!S86</f>
        <v/>
      </c>
      <c r="F87" s="75">
        <f>Planilha!P86</f>
        <v/>
      </c>
    </row>
    <row r="88">
      <c r="A88" s="77">
        <f>HYPERLINK("https://tkebrasil.atlassian.net/browse/" &amp; Planilha!AA87,Planilha!AA87)</f>
        <v/>
      </c>
      <c r="B88" s="73">
        <f>Planilha!C87</f>
        <v/>
      </c>
      <c r="C88" s="73">
        <f>Planilha!D87</f>
        <v/>
      </c>
      <c r="D88" s="73">
        <f>Planilha!L87</f>
        <v/>
      </c>
      <c r="E88" s="74">
        <f>Planilha!S87</f>
        <v/>
      </c>
      <c r="F88" s="75">
        <f>Planilha!P87</f>
        <v/>
      </c>
    </row>
    <row r="89">
      <c r="A89" s="77">
        <f>HYPERLINK("https://tkebrasil.atlassian.net/browse/" &amp; Planilha!AA88,Planilha!AA88)</f>
        <v/>
      </c>
      <c r="B89" s="73">
        <f>Planilha!C88</f>
        <v/>
      </c>
      <c r="C89" s="73">
        <f>Planilha!D88</f>
        <v/>
      </c>
      <c r="D89" s="73">
        <f>Planilha!L88</f>
        <v/>
      </c>
      <c r="E89" s="74">
        <f>Planilha!S88</f>
        <v/>
      </c>
      <c r="F89" s="75">
        <f>Planilha!P88</f>
        <v/>
      </c>
    </row>
    <row r="90">
      <c r="A90" s="77">
        <f>HYPERLINK("https://tkebrasil.atlassian.net/browse/" &amp; Planilha!AA89,Planilha!AA89)</f>
        <v/>
      </c>
      <c r="B90" s="73">
        <f>Planilha!C89</f>
        <v/>
      </c>
      <c r="C90" s="73">
        <f>Planilha!D89</f>
        <v/>
      </c>
      <c r="D90" s="73">
        <f>Planilha!L89</f>
        <v/>
      </c>
      <c r="E90" s="74">
        <f>Planilha!S89</f>
        <v/>
      </c>
      <c r="F90" s="75">
        <f>Planilha!P89</f>
        <v/>
      </c>
    </row>
    <row r="91">
      <c r="A91" s="77">
        <f>HYPERLINK("https://tkebrasil.atlassian.net/browse/" &amp; Planilha!AA90,Planilha!AA90)</f>
        <v/>
      </c>
      <c r="B91" s="73">
        <f>Planilha!C90</f>
        <v/>
      </c>
      <c r="C91" s="73">
        <f>Planilha!D90</f>
        <v/>
      </c>
      <c r="D91" s="73">
        <f>Planilha!L90</f>
        <v/>
      </c>
      <c r="E91" s="74">
        <f>Planilha!S90</f>
        <v/>
      </c>
      <c r="F91" s="75">
        <f>Planilha!P90</f>
        <v/>
      </c>
    </row>
    <row r="92">
      <c r="A92" s="77">
        <f>HYPERLINK("https://tkebrasil.atlassian.net/browse/" &amp; Planilha!AA91,Planilha!AA91)</f>
        <v/>
      </c>
      <c r="B92" s="73">
        <f>Planilha!C91</f>
        <v/>
      </c>
      <c r="C92" s="73">
        <f>Planilha!D91</f>
        <v/>
      </c>
      <c r="D92" s="73">
        <f>Planilha!L91</f>
        <v/>
      </c>
      <c r="E92" s="74">
        <f>Planilha!S91</f>
        <v/>
      </c>
      <c r="F92" s="75">
        <f>Planilha!P91</f>
        <v/>
      </c>
    </row>
    <row r="93">
      <c r="A93" s="77">
        <f>HYPERLINK("https://tkebrasil.atlassian.net/browse/" &amp; Planilha!AA92,Planilha!AA92)</f>
        <v/>
      </c>
      <c r="B93" s="73">
        <f>Planilha!C92</f>
        <v/>
      </c>
      <c r="C93" s="73">
        <f>Planilha!D92</f>
        <v/>
      </c>
      <c r="D93" s="73">
        <f>Planilha!L92</f>
        <v/>
      </c>
      <c r="E93" s="74">
        <f>Planilha!S92</f>
        <v/>
      </c>
      <c r="F93" s="75">
        <f>Planilha!P92</f>
        <v/>
      </c>
    </row>
    <row r="94">
      <c r="A94" s="77">
        <f>HYPERLINK("https://tkebrasil.atlassian.net/browse/" &amp; Planilha!AA93,Planilha!AA93)</f>
        <v/>
      </c>
      <c r="B94" s="73">
        <f>Planilha!C93</f>
        <v/>
      </c>
      <c r="C94" s="73">
        <f>Planilha!D93</f>
        <v/>
      </c>
      <c r="D94" s="73">
        <f>Planilha!L93</f>
        <v/>
      </c>
      <c r="E94" s="74">
        <f>Planilha!S93</f>
        <v/>
      </c>
      <c r="F94" s="75">
        <f>Planilha!P93</f>
        <v/>
      </c>
    </row>
    <row r="95">
      <c r="A95" s="77">
        <f>HYPERLINK("https://tkebrasil.atlassian.net/browse/" &amp; Planilha!AA94,Planilha!AA94)</f>
        <v/>
      </c>
      <c r="B95" s="73">
        <f>Planilha!C94</f>
        <v/>
      </c>
      <c r="C95" s="73">
        <f>Planilha!D94</f>
        <v/>
      </c>
      <c r="D95" s="73">
        <f>Planilha!L94</f>
        <v/>
      </c>
      <c r="E95" s="74">
        <f>Planilha!S94</f>
        <v/>
      </c>
      <c r="F95" s="75">
        <f>Planilha!P94</f>
        <v/>
      </c>
    </row>
    <row r="96">
      <c r="A96" s="77">
        <f>HYPERLINK("https://tkebrasil.atlassian.net/browse/" &amp; Planilha!AA95,Planilha!AA95)</f>
        <v/>
      </c>
      <c r="B96" s="73">
        <f>Planilha!C95</f>
        <v/>
      </c>
      <c r="C96" s="73">
        <f>Planilha!D95</f>
        <v/>
      </c>
      <c r="D96" s="73">
        <f>Planilha!L95</f>
        <v/>
      </c>
      <c r="E96" s="74">
        <f>Planilha!S95</f>
        <v/>
      </c>
      <c r="F96" s="75">
        <f>Planilha!P95</f>
        <v/>
      </c>
    </row>
    <row r="97">
      <c r="A97" s="77">
        <f>HYPERLINK("https://tkebrasil.atlassian.net/browse/" &amp; Planilha!AA96,Planilha!AA96)</f>
        <v/>
      </c>
      <c r="B97" s="73">
        <f>Planilha!C96</f>
        <v/>
      </c>
      <c r="C97" s="73">
        <f>Planilha!D96</f>
        <v/>
      </c>
      <c r="D97" s="73">
        <f>Planilha!L96</f>
        <v/>
      </c>
      <c r="E97" s="74">
        <f>Planilha!S96</f>
        <v/>
      </c>
      <c r="F97" s="75">
        <f>Planilha!P96</f>
        <v/>
      </c>
    </row>
    <row r="98">
      <c r="A98" s="77">
        <f>HYPERLINK("https://tkebrasil.atlassian.net/browse/" &amp; Planilha!AA97,Planilha!AA97)</f>
        <v/>
      </c>
      <c r="B98" s="73">
        <f>Planilha!C97</f>
        <v/>
      </c>
      <c r="C98" s="73">
        <f>Planilha!D97</f>
        <v/>
      </c>
      <c r="D98" s="73">
        <f>Planilha!L97</f>
        <v/>
      </c>
      <c r="E98" s="74">
        <f>Planilha!S97</f>
        <v/>
      </c>
      <c r="F98" s="75">
        <f>Planilha!P97</f>
        <v/>
      </c>
    </row>
    <row r="99">
      <c r="A99" s="77">
        <f>HYPERLINK("https://tkebrasil.atlassian.net/browse/" &amp; Planilha!AA98,Planilha!AA98)</f>
        <v/>
      </c>
      <c r="B99" s="73">
        <f>Planilha!C98</f>
        <v/>
      </c>
      <c r="C99" s="73">
        <f>Planilha!D98</f>
        <v/>
      </c>
      <c r="D99" s="73">
        <f>Planilha!L98</f>
        <v/>
      </c>
      <c r="E99" s="74">
        <f>Planilha!S98</f>
        <v/>
      </c>
      <c r="F99" s="75">
        <f>Planilha!P98</f>
        <v/>
      </c>
    </row>
    <row r="100">
      <c r="A100" s="77">
        <f>HYPERLINK("https://tkebrasil.atlassian.net/browse/" &amp; Planilha!AA99,Planilha!AA99)</f>
        <v/>
      </c>
      <c r="B100" s="73">
        <f>Planilha!C99</f>
        <v/>
      </c>
      <c r="C100" s="73">
        <f>Planilha!D99</f>
        <v/>
      </c>
      <c r="D100" s="73">
        <f>Planilha!L99</f>
        <v/>
      </c>
      <c r="E100" s="74">
        <f>Planilha!S99</f>
        <v/>
      </c>
      <c r="F100" s="75">
        <f>Planilha!P99</f>
        <v/>
      </c>
    </row>
    <row r="101">
      <c r="A101" s="77">
        <f>HYPERLINK("https://tkebrasil.atlassian.net/browse/" &amp; Planilha!AA100,Planilha!AA100)</f>
        <v/>
      </c>
      <c r="B101" s="73">
        <f>Planilha!C100</f>
        <v/>
      </c>
      <c r="C101" s="73">
        <f>Planilha!D100</f>
        <v/>
      </c>
      <c r="D101" s="73">
        <f>Planilha!L100</f>
        <v/>
      </c>
      <c r="E101" s="74">
        <f>Planilha!S100</f>
        <v/>
      </c>
      <c r="F101" s="75">
        <f>Planilha!P100</f>
        <v/>
      </c>
    </row>
    <row r="102">
      <c r="A102" s="77">
        <f>HYPERLINK("https://tkebrasil.atlassian.net/browse/" &amp; Planilha!AA101,Planilha!AA101)</f>
        <v/>
      </c>
      <c r="B102" s="73">
        <f>Planilha!C101</f>
        <v/>
      </c>
      <c r="C102" s="73">
        <f>Planilha!D101</f>
        <v/>
      </c>
      <c r="D102" s="73">
        <f>Planilha!L101</f>
        <v/>
      </c>
      <c r="E102" s="74">
        <f>Planilha!S101</f>
        <v/>
      </c>
      <c r="F102" s="75">
        <f>Planilha!P101</f>
        <v/>
      </c>
    </row>
    <row r="103">
      <c r="A103" s="77">
        <f>HYPERLINK("https://tkebrasil.atlassian.net/browse/" &amp; Planilha!AA102,Planilha!AA102)</f>
        <v/>
      </c>
      <c r="B103" s="73">
        <f>Planilha!C102</f>
        <v/>
      </c>
      <c r="C103" s="73">
        <f>Planilha!D102</f>
        <v/>
      </c>
      <c r="D103" s="73">
        <f>Planilha!L102</f>
        <v/>
      </c>
      <c r="E103" s="74">
        <f>Planilha!S102</f>
        <v/>
      </c>
      <c r="F103" s="75">
        <f>Planilha!P102</f>
        <v/>
      </c>
    </row>
    <row r="104">
      <c r="A104" s="77">
        <f>HYPERLINK("https://tkebrasil.atlassian.net/browse/" &amp; Planilha!AA103,Planilha!AA103)</f>
        <v/>
      </c>
      <c r="B104" s="73">
        <f>Planilha!C103</f>
        <v/>
      </c>
      <c r="C104" s="73">
        <f>Planilha!D103</f>
        <v/>
      </c>
      <c r="D104" s="73">
        <f>Planilha!L103</f>
        <v/>
      </c>
      <c r="E104" s="74">
        <f>Planilha!S103</f>
        <v/>
      </c>
      <c r="F104" s="75">
        <f>Planilha!P103</f>
        <v/>
      </c>
    </row>
    <row r="105">
      <c r="A105" s="77">
        <f>HYPERLINK("https://tkebrasil.atlassian.net/browse/" &amp; Planilha!AA104,Planilha!AA104)</f>
        <v/>
      </c>
      <c r="B105" s="73">
        <f>Planilha!C104</f>
        <v/>
      </c>
      <c r="C105" s="73">
        <f>Planilha!D104</f>
        <v/>
      </c>
      <c r="D105" s="73">
        <f>Planilha!L104</f>
        <v/>
      </c>
      <c r="E105" s="74">
        <f>Planilha!S104</f>
        <v/>
      </c>
      <c r="F105" s="75">
        <f>Planilha!P104</f>
        <v/>
      </c>
    </row>
    <row r="106">
      <c r="A106" s="77">
        <f>HYPERLINK("https://tkebrasil.atlassian.net/browse/" &amp; Planilha!AA105,Planilha!AA105)</f>
        <v/>
      </c>
      <c r="B106" s="73">
        <f>Planilha!C105</f>
        <v/>
      </c>
      <c r="C106" s="73">
        <f>Planilha!D105</f>
        <v/>
      </c>
      <c r="D106" s="73">
        <f>Planilha!L105</f>
        <v/>
      </c>
      <c r="E106" s="74">
        <f>Planilha!S105</f>
        <v/>
      </c>
      <c r="F106" s="75">
        <f>Planilha!P105</f>
        <v/>
      </c>
    </row>
    <row r="107">
      <c r="A107" s="77">
        <f>HYPERLINK("https://tkebrasil.atlassian.net/browse/" &amp; Planilha!AA106,Planilha!AA106)</f>
        <v/>
      </c>
      <c r="B107" s="73">
        <f>Planilha!C106</f>
        <v/>
      </c>
      <c r="C107" s="73">
        <f>Planilha!D106</f>
        <v/>
      </c>
      <c r="D107" s="73">
        <f>Planilha!L106</f>
        <v/>
      </c>
      <c r="E107" s="74">
        <f>Planilha!S106</f>
        <v/>
      </c>
      <c r="F107" s="75">
        <f>Planilha!P106</f>
        <v/>
      </c>
    </row>
    <row r="108">
      <c r="A108" s="77">
        <f>HYPERLINK("https://tkebrasil.atlassian.net/browse/" &amp; Planilha!AA107,Planilha!AA107)</f>
        <v/>
      </c>
      <c r="B108" s="73">
        <f>Planilha!C107</f>
        <v/>
      </c>
      <c r="C108" s="73">
        <f>Planilha!D107</f>
        <v/>
      </c>
      <c r="D108" s="73">
        <f>Planilha!L107</f>
        <v/>
      </c>
      <c r="E108" s="74">
        <f>Planilha!S107</f>
        <v/>
      </c>
      <c r="F108" s="75">
        <f>Planilha!P107</f>
        <v/>
      </c>
    </row>
    <row r="109">
      <c r="A109" s="77">
        <f>HYPERLINK("https://tkebrasil.atlassian.net/browse/" &amp; Planilha!AA108,Planilha!AA108)</f>
        <v/>
      </c>
      <c r="B109" s="73">
        <f>Planilha!C108</f>
        <v/>
      </c>
      <c r="C109" s="73">
        <f>Planilha!D108</f>
        <v/>
      </c>
      <c r="D109" s="73">
        <f>Planilha!L108</f>
        <v/>
      </c>
      <c r="E109" s="74">
        <f>Planilha!S108</f>
        <v/>
      </c>
      <c r="F109" s="75">
        <f>Planilha!P108</f>
        <v/>
      </c>
    </row>
    <row r="110">
      <c r="A110" s="77">
        <f>HYPERLINK("https://tkebrasil.atlassian.net/browse/" &amp; Planilha!AA109,Planilha!AA109)</f>
        <v/>
      </c>
      <c r="B110" s="73">
        <f>Planilha!C109</f>
        <v/>
      </c>
      <c r="C110" s="73">
        <f>Planilha!D109</f>
        <v/>
      </c>
      <c r="D110" s="73">
        <f>Planilha!L109</f>
        <v/>
      </c>
      <c r="E110" s="74">
        <f>Planilha!S109</f>
        <v/>
      </c>
      <c r="F110" s="75">
        <f>Planilha!P109</f>
        <v/>
      </c>
    </row>
    <row r="111">
      <c r="A111" s="77">
        <f>HYPERLINK("https://tkebrasil.atlassian.net/browse/" &amp; Planilha!AA110,Planilha!AA110)</f>
        <v/>
      </c>
      <c r="B111" s="73">
        <f>Planilha!C110</f>
        <v/>
      </c>
      <c r="C111" s="73">
        <f>Planilha!D110</f>
        <v/>
      </c>
      <c r="D111" s="73">
        <f>Planilha!L110</f>
        <v/>
      </c>
      <c r="E111" s="74">
        <f>Planilha!S110</f>
        <v/>
      </c>
      <c r="F111" s="75">
        <f>Planilha!P110</f>
        <v/>
      </c>
    </row>
    <row r="112">
      <c r="A112" s="77">
        <f>HYPERLINK("https://tkebrasil.atlassian.net/browse/" &amp; Planilha!AA111,Planilha!AA111)</f>
        <v/>
      </c>
      <c r="B112" s="73">
        <f>Planilha!C111</f>
        <v/>
      </c>
      <c r="C112" s="73">
        <f>Planilha!D111</f>
        <v/>
      </c>
      <c r="D112" s="73">
        <f>Planilha!L111</f>
        <v/>
      </c>
      <c r="E112" s="74">
        <f>Planilha!S111</f>
        <v/>
      </c>
      <c r="F112" s="75">
        <f>Planilha!P111</f>
        <v/>
      </c>
    </row>
    <row r="113">
      <c r="A113" s="77">
        <f>HYPERLINK("https://tkebrasil.atlassian.net/browse/" &amp; Planilha!AA112,Planilha!AA112)</f>
        <v/>
      </c>
      <c r="B113" s="73">
        <f>Planilha!C112</f>
        <v/>
      </c>
      <c r="C113" s="73">
        <f>Planilha!D112</f>
        <v/>
      </c>
      <c r="D113" s="73">
        <f>Planilha!L112</f>
        <v/>
      </c>
      <c r="E113" s="74">
        <f>Planilha!S112</f>
        <v/>
      </c>
      <c r="F113" s="75">
        <f>Planilha!P112</f>
        <v/>
      </c>
    </row>
    <row r="114">
      <c r="A114" s="77">
        <f>HYPERLINK("https://tkebrasil.atlassian.net/browse/" &amp; Planilha!AA113,Planilha!AA113)</f>
        <v/>
      </c>
      <c r="B114" s="73">
        <f>Planilha!C113</f>
        <v/>
      </c>
      <c r="C114" s="73">
        <f>Planilha!D113</f>
        <v/>
      </c>
      <c r="D114" s="73">
        <f>Planilha!L113</f>
        <v/>
      </c>
      <c r="E114" s="74">
        <f>Planilha!S113</f>
        <v/>
      </c>
      <c r="F114" s="75">
        <f>Planilha!P113</f>
        <v/>
      </c>
    </row>
    <row r="115">
      <c r="A115" s="77">
        <f>HYPERLINK("https://tkebrasil.atlassian.net/browse/" &amp; Planilha!AA114,Planilha!AA114)</f>
        <v/>
      </c>
      <c r="B115" s="73">
        <f>Planilha!C114</f>
        <v/>
      </c>
      <c r="C115" s="73">
        <f>Planilha!D114</f>
        <v/>
      </c>
      <c r="D115" s="73">
        <f>Planilha!L114</f>
        <v/>
      </c>
      <c r="E115" s="74">
        <f>Planilha!S114</f>
        <v/>
      </c>
      <c r="F115" s="75">
        <f>Planilha!P114</f>
        <v/>
      </c>
    </row>
    <row r="116">
      <c r="A116" s="77">
        <f>HYPERLINK("https://tkebrasil.atlassian.net/browse/" &amp; Planilha!AA115,Planilha!AA115)</f>
        <v/>
      </c>
      <c r="B116" s="73">
        <f>Planilha!C115</f>
        <v/>
      </c>
      <c r="C116" s="73">
        <f>Planilha!D115</f>
        <v/>
      </c>
      <c r="D116" s="73">
        <f>Planilha!L115</f>
        <v/>
      </c>
      <c r="E116" s="74">
        <f>Planilha!S115</f>
        <v/>
      </c>
      <c r="F116" s="75">
        <f>Planilha!P115</f>
        <v/>
      </c>
    </row>
    <row r="117">
      <c r="A117" s="77">
        <f>HYPERLINK("https://tkebrasil.atlassian.net/browse/" &amp; Planilha!AA116,Planilha!AA116)</f>
        <v/>
      </c>
      <c r="B117" s="73">
        <f>Planilha!C116</f>
        <v/>
      </c>
      <c r="C117" s="73">
        <f>Planilha!D116</f>
        <v/>
      </c>
      <c r="D117" s="73">
        <f>Planilha!L116</f>
        <v/>
      </c>
      <c r="E117" s="74">
        <f>Planilha!S116</f>
        <v/>
      </c>
      <c r="F117" s="75">
        <f>Planilha!P116</f>
        <v/>
      </c>
    </row>
    <row r="118">
      <c r="A118" s="77">
        <f>HYPERLINK("https://tkebrasil.atlassian.net/browse/" &amp; Planilha!AA117,Planilha!AA117)</f>
        <v/>
      </c>
      <c r="B118" s="73">
        <f>Planilha!C117</f>
        <v/>
      </c>
      <c r="C118" s="73">
        <f>Planilha!D117</f>
        <v/>
      </c>
      <c r="D118" s="73">
        <f>Planilha!L117</f>
        <v/>
      </c>
      <c r="E118" s="74">
        <f>Planilha!S117</f>
        <v/>
      </c>
      <c r="F118" s="75">
        <f>Planilha!P117</f>
        <v/>
      </c>
    </row>
    <row r="119">
      <c r="A119" s="77">
        <f>HYPERLINK("https://tkebrasil.atlassian.net/browse/" &amp; Planilha!AA118,Planilha!AA118)</f>
        <v/>
      </c>
      <c r="B119" s="73">
        <f>Planilha!C118</f>
        <v/>
      </c>
      <c r="C119" s="73">
        <f>Planilha!D118</f>
        <v/>
      </c>
      <c r="D119" s="73">
        <f>Planilha!L118</f>
        <v/>
      </c>
      <c r="E119" s="74">
        <f>Planilha!S118</f>
        <v/>
      </c>
      <c r="F119" s="75">
        <f>Planilha!P118</f>
        <v/>
      </c>
    </row>
    <row r="120">
      <c r="A120" s="77">
        <f>HYPERLINK("https://tkebrasil.atlassian.net/browse/" &amp; Planilha!AA119,Planilha!AA119)</f>
        <v/>
      </c>
      <c r="B120" s="73">
        <f>Planilha!C119</f>
        <v/>
      </c>
      <c r="C120" s="73">
        <f>Planilha!D119</f>
        <v/>
      </c>
      <c r="D120" s="73">
        <f>Planilha!L119</f>
        <v/>
      </c>
      <c r="E120" s="74">
        <f>Planilha!S119</f>
        <v/>
      </c>
      <c r="F120" s="75">
        <f>Planilha!P119</f>
        <v/>
      </c>
    </row>
    <row r="121">
      <c r="A121" s="77">
        <f>HYPERLINK("https://tkebrasil.atlassian.net/browse/" &amp; Planilha!AA120,Planilha!AA120)</f>
        <v/>
      </c>
      <c r="B121" s="73">
        <f>Planilha!C120</f>
        <v/>
      </c>
      <c r="C121" s="73">
        <f>Planilha!D120</f>
        <v/>
      </c>
      <c r="D121" s="73">
        <f>Planilha!L120</f>
        <v/>
      </c>
      <c r="E121" s="74">
        <f>Planilha!S120</f>
        <v/>
      </c>
      <c r="F121" s="75">
        <f>Planilha!P120</f>
        <v/>
      </c>
    </row>
    <row r="122">
      <c r="A122" s="77">
        <f>HYPERLINK("https://tkebrasil.atlassian.net/browse/" &amp; Planilha!AA121,Planilha!AA121)</f>
        <v/>
      </c>
      <c r="B122" s="73">
        <f>Planilha!C121</f>
        <v/>
      </c>
      <c r="C122" s="73">
        <f>Planilha!D121</f>
        <v/>
      </c>
      <c r="D122" s="73">
        <f>Planilha!L121</f>
        <v/>
      </c>
      <c r="E122" s="74">
        <f>Planilha!S121</f>
        <v/>
      </c>
      <c r="F122" s="75">
        <f>Planilha!P121</f>
        <v/>
      </c>
    </row>
    <row r="123">
      <c r="A123" s="77">
        <f>HYPERLINK("https://tkebrasil.atlassian.net/browse/" &amp; Planilha!AA122,Planilha!AA122)</f>
        <v/>
      </c>
      <c r="B123" s="73">
        <f>Planilha!C122</f>
        <v/>
      </c>
      <c r="C123" s="73">
        <f>Planilha!D122</f>
        <v/>
      </c>
      <c r="D123" s="73">
        <f>Planilha!L122</f>
        <v/>
      </c>
      <c r="E123" s="74">
        <f>Planilha!S122</f>
        <v/>
      </c>
      <c r="F123" s="75">
        <f>Planilha!P122</f>
        <v/>
      </c>
    </row>
    <row r="124">
      <c r="A124" s="77">
        <f>HYPERLINK("https://tkebrasil.atlassian.net/browse/" &amp; Planilha!AA123,Planilha!AA123)</f>
        <v/>
      </c>
      <c r="B124" s="73">
        <f>Planilha!C123</f>
        <v/>
      </c>
      <c r="C124" s="73">
        <f>Planilha!D123</f>
        <v/>
      </c>
      <c r="D124" s="73">
        <f>Planilha!L123</f>
        <v/>
      </c>
      <c r="E124" s="74">
        <f>Planilha!S123</f>
        <v/>
      </c>
      <c r="F124" s="75">
        <f>Planilha!P123</f>
        <v/>
      </c>
    </row>
    <row r="125">
      <c r="A125" s="77">
        <f>HYPERLINK("https://tkebrasil.atlassian.net/browse/" &amp; Planilha!AA124,Planilha!AA124)</f>
        <v/>
      </c>
      <c r="B125" s="73">
        <f>Planilha!C124</f>
        <v/>
      </c>
      <c r="C125" s="73">
        <f>Planilha!D124</f>
        <v/>
      </c>
      <c r="D125" s="73">
        <f>Planilha!L124</f>
        <v/>
      </c>
      <c r="E125" s="74">
        <f>Planilha!S124</f>
        <v/>
      </c>
      <c r="F125" s="75">
        <f>Planilha!P124</f>
        <v/>
      </c>
    </row>
    <row r="126">
      <c r="A126" s="77">
        <f>HYPERLINK("https://tkebrasil.atlassian.net/browse/" &amp; Planilha!AA125,Planilha!AA125)</f>
        <v/>
      </c>
      <c r="B126" s="73">
        <f>Planilha!C125</f>
        <v/>
      </c>
      <c r="C126" s="73">
        <f>Planilha!D125</f>
        <v/>
      </c>
      <c r="D126" s="73">
        <f>Planilha!L125</f>
        <v/>
      </c>
      <c r="E126" s="74">
        <f>Planilha!S125</f>
        <v/>
      </c>
      <c r="F126" s="75">
        <f>Planilha!P125</f>
        <v/>
      </c>
    </row>
    <row r="127">
      <c r="A127" s="77">
        <f>HYPERLINK("https://tkebrasil.atlassian.net/browse/" &amp; Planilha!AA126,Planilha!AA126)</f>
        <v/>
      </c>
      <c r="B127" s="73">
        <f>Planilha!C126</f>
        <v/>
      </c>
      <c r="C127" s="73">
        <f>Planilha!D126</f>
        <v/>
      </c>
      <c r="D127" s="73">
        <f>Planilha!L126</f>
        <v/>
      </c>
      <c r="E127" s="74">
        <f>Planilha!S126</f>
        <v/>
      </c>
      <c r="F127" s="75">
        <f>Planilha!P126</f>
        <v/>
      </c>
    </row>
    <row r="128">
      <c r="A128" s="77">
        <f>HYPERLINK("https://tkebrasil.atlassian.net/browse/" &amp; Planilha!AA127,Planilha!AA127)</f>
        <v/>
      </c>
      <c r="B128" s="73">
        <f>Planilha!C127</f>
        <v/>
      </c>
      <c r="C128" s="73">
        <f>Planilha!D127</f>
        <v/>
      </c>
      <c r="D128" s="73">
        <f>Planilha!L127</f>
        <v/>
      </c>
      <c r="E128" s="74">
        <f>Planilha!S127</f>
        <v/>
      </c>
      <c r="F128" s="75">
        <f>Planilha!P127</f>
        <v/>
      </c>
    </row>
    <row r="129">
      <c r="A129" s="77">
        <f>HYPERLINK("https://tkebrasil.atlassian.net/browse/" &amp; Planilha!AA128,Planilha!AA128)</f>
        <v/>
      </c>
      <c r="B129" s="73">
        <f>Planilha!C128</f>
        <v/>
      </c>
      <c r="C129" s="73">
        <f>Planilha!D128</f>
        <v/>
      </c>
      <c r="D129" s="73">
        <f>Planilha!L128</f>
        <v/>
      </c>
      <c r="E129" s="74">
        <f>Planilha!S128</f>
        <v/>
      </c>
      <c r="F129" s="75">
        <f>Planilha!P128</f>
        <v/>
      </c>
    </row>
    <row r="130">
      <c r="A130" s="77">
        <f>HYPERLINK("https://tkebrasil.atlassian.net/browse/" &amp; Planilha!AA129,Planilha!AA129)</f>
        <v/>
      </c>
      <c r="B130" s="73">
        <f>Planilha!C129</f>
        <v/>
      </c>
      <c r="C130" s="73">
        <f>Planilha!D129</f>
        <v/>
      </c>
      <c r="D130" s="73">
        <f>Planilha!L129</f>
        <v/>
      </c>
      <c r="E130" s="74">
        <f>Planilha!S129</f>
        <v/>
      </c>
      <c r="F130" s="75">
        <f>Planilha!P129</f>
        <v/>
      </c>
    </row>
    <row r="131">
      <c r="A131" s="77">
        <f>HYPERLINK("https://tkebrasil.atlassian.net/browse/" &amp; Planilha!AA130,Planilha!AA130)</f>
        <v/>
      </c>
      <c r="B131" s="73">
        <f>Planilha!C130</f>
        <v/>
      </c>
      <c r="C131" s="73">
        <f>Planilha!D130</f>
        <v/>
      </c>
      <c r="D131" s="73">
        <f>Planilha!L130</f>
        <v/>
      </c>
      <c r="E131" s="74">
        <f>Planilha!S130</f>
        <v/>
      </c>
      <c r="F131" s="75">
        <f>Planilha!P130</f>
        <v/>
      </c>
    </row>
    <row r="132">
      <c r="A132" s="77">
        <f>HYPERLINK("https://tkebrasil.atlassian.net/browse/" &amp; Planilha!AA131,Planilha!AA131)</f>
        <v/>
      </c>
      <c r="B132" s="73">
        <f>Planilha!C131</f>
        <v/>
      </c>
      <c r="C132" s="73">
        <f>Planilha!D131</f>
        <v/>
      </c>
      <c r="D132" s="73">
        <f>Planilha!L131</f>
        <v/>
      </c>
      <c r="E132" s="74">
        <f>Planilha!S131</f>
        <v/>
      </c>
      <c r="F132" s="75">
        <f>Planilha!P131</f>
        <v/>
      </c>
    </row>
    <row r="133">
      <c r="A133" s="77">
        <f>HYPERLINK("https://tkebrasil.atlassian.net/browse/" &amp; Planilha!AA132,Planilha!AA132)</f>
        <v/>
      </c>
      <c r="B133" s="73">
        <f>Planilha!C132</f>
        <v/>
      </c>
      <c r="C133" s="73">
        <f>Planilha!D132</f>
        <v/>
      </c>
      <c r="D133" s="73">
        <f>Planilha!L132</f>
        <v/>
      </c>
      <c r="E133" s="74">
        <f>Planilha!S132</f>
        <v/>
      </c>
      <c r="F133" s="75">
        <f>Planilha!P132</f>
        <v/>
      </c>
    </row>
    <row r="134">
      <c r="A134" s="77">
        <f>HYPERLINK("https://tkebrasil.atlassian.net/browse/" &amp; Planilha!AA133,Planilha!AA133)</f>
        <v/>
      </c>
      <c r="B134" s="73">
        <f>Planilha!C133</f>
        <v/>
      </c>
      <c r="C134" s="73">
        <f>Planilha!D133</f>
        <v/>
      </c>
      <c r="D134" s="73">
        <f>Planilha!L133</f>
        <v/>
      </c>
      <c r="E134" s="74">
        <f>Planilha!S133</f>
        <v/>
      </c>
      <c r="F134" s="75">
        <f>Planilha!P133</f>
        <v/>
      </c>
    </row>
    <row r="135">
      <c r="A135" s="77">
        <f>HYPERLINK("https://tkebrasil.atlassian.net/browse/" &amp; Planilha!AA134,Planilha!AA134)</f>
        <v/>
      </c>
      <c r="B135" s="73">
        <f>Planilha!C134</f>
        <v/>
      </c>
      <c r="C135" s="73">
        <f>Planilha!D134</f>
        <v/>
      </c>
      <c r="D135" s="73">
        <f>Planilha!L134</f>
        <v/>
      </c>
      <c r="E135" s="74">
        <f>Planilha!S134</f>
        <v/>
      </c>
      <c r="F135" s="75">
        <f>Planilha!P134</f>
        <v/>
      </c>
    </row>
    <row r="136">
      <c r="A136" s="77">
        <f>HYPERLINK("https://tkebrasil.atlassian.net/browse/" &amp; Planilha!AA135,Planilha!AA135)</f>
        <v/>
      </c>
      <c r="B136" s="73">
        <f>Planilha!C135</f>
        <v/>
      </c>
      <c r="C136" s="73">
        <f>Planilha!D135</f>
        <v/>
      </c>
      <c r="D136" s="73">
        <f>Planilha!L135</f>
        <v/>
      </c>
      <c r="E136" s="74">
        <f>Planilha!S135</f>
        <v/>
      </c>
      <c r="F136" s="75">
        <f>Planilha!P135</f>
        <v/>
      </c>
    </row>
    <row r="137">
      <c r="A137" s="77">
        <f>HYPERLINK("https://tkebrasil.atlassian.net/browse/" &amp; Planilha!AA136,Planilha!AA136)</f>
        <v/>
      </c>
      <c r="B137" s="73">
        <f>Planilha!C136</f>
        <v/>
      </c>
      <c r="C137" s="73">
        <f>Planilha!D136</f>
        <v/>
      </c>
      <c r="D137" s="73">
        <f>Planilha!L136</f>
        <v/>
      </c>
      <c r="E137" s="74">
        <f>Planilha!S136</f>
        <v/>
      </c>
      <c r="F137" s="75">
        <f>Planilha!P136</f>
        <v/>
      </c>
    </row>
    <row r="138">
      <c r="A138" s="77">
        <f>HYPERLINK("https://tkebrasil.atlassian.net/browse/" &amp; Planilha!AA137,Planilha!AA137)</f>
        <v/>
      </c>
      <c r="B138" s="73">
        <f>Planilha!C137</f>
        <v/>
      </c>
      <c r="C138" s="73">
        <f>Planilha!D137</f>
        <v/>
      </c>
      <c r="D138" s="73">
        <f>Planilha!L137</f>
        <v/>
      </c>
      <c r="E138" s="74">
        <f>Planilha!S137</f>
        <v/>
      </c>
      <c r="F138" s="75">
        <f>Planilha!P137</f>
        <v/>
      </c>
    </row>
    <row r="139">
      <c r="A139" s="77">
        <f>HYPERLINK("https://tkebrasil.atlassian.net/browse/" &amp; Planilha!AA138,Planilha!AA138)</f>
        <v/>
      </c>
      <c r="B139" s="73">
        <f>Planilha!C138</f>
        <v/>
      </c>
      <c r="C139" s="73">
        <f>Planilha!D138</f>
        <v/>
      </c>
      <c r="D139" s="73">
        <f>Planilha!L138</f>
        <v/>
      </c>
      <c r="E139" s="74">
        <f>Planilha!S138</f>
        <v/>
      </c>
      <c r="F139" s="75">
        <f>Planilha!P138</f>
        <v/>
      </c>
    </row>
    <row r="140">
      <c r="A140" s="77">
        <f>HYPERLINK("https://tkebrasil.atlassian.net/browse/" &amp; Planilha!AA139,Planilha!AA139)</f>
        <v/>
      </c>
      <c r="B140" s="73">
        <f>Planilha!C139</f>
        <v/>
      </c>
      <c r="C140" s="73">
        <f>Planilha!D139</f>
        <v/>
      </c>
      <c r="D140" s="73">
        <f>Planilha!L139</f>
        <v/>
      </c>
      <c r="E140" s="74">
        <f>Planilha!S139</f>
        <v/>
      </c>
      <c r="F140" s="75">
        <f>Planilha!P139</f>
        <v/>
      </c>
    </row>
    <row r="141">
      <c r="A141" s="77">
        <f>HYPERLINK("https://tkebrasil.atlassian.net/browse/" &amp; Planilha!AA140,Planilha!AA140)</f>
        <v/>
      </c>
      <c r="B141" s="73">
        <f>Planilha!C140</f>
        <v/>
      </c>
      <c r="C141" s="73">
        <f>Planilha!D140</f>
        <v/>
      </c>
      <c r="D141" s="73">
        <f>Planilha!L140</f>
        <v/>
      </c>
      <c r="E141" s="74">
        <f>Planilha!S140</f>
        <v/>
      </c>
      <c r="F141" s="75">
        <f>Planilha!P140</f>
        <v/>
      </c>
    </row>
    <row r="142">
      <c r="A142" s="77">
        <f>HYPERLINK("https://tkebrasil.atlassian.net/browse/" &amp; Planilha!AA141,Planilha!AA141)</f>
        <v/>
      </c>
      <c r="B142" s="73">
        <f>Planilha!C141</f>
        <v/>
      </c>
      <c r="C142" s="73">
        <f>Planilha!D141</f>
        <v/>
      </c>
      <c r="D142" s="73">
        <f>Planilha!L141</f>
        <v/>
      </c>
      <c r="E142" s="74">
        <f>Planilha!S141</f>
        <v/>
      </c>
      <c r="F142" s="75">
        <f>Planilha!P141</f>
        <v/>
      </c>
    </row>
  </sheetData>
  <autoFilter ref="A1:F142"/>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H18"/>
  <sheetViews>
    <sheetView showGridLines="0" workbookViewId="0">
      <selection activeCell="G14" sqref="G14"/>
    </sheetView>
  </sheetViews>
  <sheetFormatPr baseColWidth="8" defaultRowHeight="14.4"/>
  <cols>
    <col width="3.33203125" customWidth="1" min="1" max="1"/>
    <col width="25.44140625" bestFit="1" customWidth="1" style="6" min="2" max="2"/>
    <col width="10.6640625" customWidth="1" min="3" max="8"/>
    <col width="3.88671875" customWidth="1" min="9" max="9"/>
  </cols>
  <sheetData>
    <row r="2">
      <c r="B2" s="42" t="n"/>
      <c r="C2" s="49">
        <f>Parâmetros!$J3</f>
        <v/>
      </c>
      <c r="D2" s="50">
        <f>Parâmetros!$J4</f>
        <v/>
      </c>
      <c r="E2" s="50">
        <f>Parâmetros!$J5</f>
        <v/>
      </c>
      <c r="F2" s="51" t="inlineStr">
        <is>
          <t>Total</t>
        </is>
      </c>
      <c r="G2" s="82" t="n"/>
      <c r="H2" s="83" t="n"/>
    </row>
    <row r="3" ht="14.4" customHeight="1">
      <c r="B3" s="54" t="inlineStr">
        <is>
          <t>Horas</t>
        </is>
      </c>
      <c r="C3" s="13">
        <f>SUMIF(Planilha!$AD$2:$AD$2946,C2,Planilha!$S$2:$S$2946)</f>
        <v/>
      </c>
      <c r="D3" s="13">
        <f>SUMIF(Planilha!$AD$2:$AD$2946,D2,Planilha!$S$2:$S$2946)</f>
        <v/>
      </c>
      <c r="E3" s="13">
        <f>SUMIF(Planilha!$AD$2:$AD$2946,E2,Planilha!$S$2:$S$2946)</f>
        <v/>
      </c>
      <c r="F3" s="68">
        <f>SUM(Planilha!S2:S2946)</f>
        <v/>
      </c>
      <c r="G3" s="84" t="n"/>
      <c r="H3" s="85" t="n"/>
    </row>
    <row r="4" ht="14.4" customHeight="1">
      <c r="B4" s="55" t="inlineStr">
        <is>
          <t>Pontos</t>
        </is>
      </c>
      <c r="C4" s="14">
        <f>SUMIF(Planilha!$AD$2:$AD$2946,C2,Planilha!$T$2:$T$2946)</f>
        <v/>
      </c>
      <c r="D4" s="14">
        <f>SUMIF(Planilha!$AD$2:$AD$2946,D2,Planilha!$T$2:$T$2946)</f>
        <v/>
      </c>
      <c r="E4" s="14">
        <f>SUMIF(Planilha!$AD$2:$AD$2946,E2,Planilha!$T$2:$T$2946)</f>
        <v/>
      </c>
      <c r="F4" s="69">
        <f>SUM(Planilha!T2:T2946)</f>
        <v/>
      </c>
      <c r="G4" s="84" t="n"/>
      <c r="H4" s="85" t="n"/>
    </row>
    <row r="5" ht="14.4" customHeight="1">
      <c r="B5" s="55" t="inlineStr">
        <is>
          <t>Epicos</t>
        </is>
      </c>
      <c r="C5" s="13">
        <f>COUNTA(_xlfn.UNIQUE(Planilha!AE2:AE2946))-2</f>
        <v/>
      </c>
      <c r="D5" s="13">
        <f>COUNTA(_xlfn.UNIQUE(Planilha!AF2:AF2946))-2</f>
        <v/>
      </c>
      <c r="E5" s="13">
        <f>COUNTA(_xlfn.UNIQUE(Planilha!AG2:AG2946))-2</f>
        <v/>
      </c>
      <c r="F5" s="68">
        <f>COUNTA(_xlfn.UNIQUE(Planilha!U2:U2946))-1</f>
        <v/>
      </c>
      <c r="G5" s="84" t="n"/>
      <c r="H5" s="85" t="n"/>
    </row>
    <row r="6" ht="14.4" customHeight="1">
      <c r="B6" s="55" t="inlineStr">
        <is>
          <t>Stories</t>
        </is>
      </c>
      <c r="C6" s="13">
        <f>COUNTA(_xlfn.UNIQUE(Planilha!AH2:AH2946))-2</f>
        <v/>
      </c>
      <c r="D6" s="13">
        <f>COUNTA(_xlfn.UNIQUE(Planilha!AI2:AI2946))-2</f>
        <v/>
      </c>
      <c r="E6" s="13">
        <f>COUNTA(_xlfn.UNIQUE(Planilha!AJ2:AJ2946))-2</f>
        <v/>
      </c>
      <c r="F6" s="68">
        <f>COUNTA(_xlfn.UNIQUE(Planilha!V2:V2946))-1</f>
        <v/>
      </c>
      <c r="G6" s="84" t="n"/>
      <c r="H6" s="85" t="n"/>
    </row>
    <row r="7" ht="14.4" customHeight="1">
      <c r="B7" s="56" t="inlineStr">
        <is>
          <t>Tasks</t>
        </is>
      </c>
      <c r="C7" s="13">
        <f>COUNTA(_xlfn.UNIQUE(Planilha!AK2:AK2946))-2</f>
        <v/>
      </c>
      <c r="D7" s="13">
        <f>COUNTA(_xlfn.UNIQUE(Planilha!AL2:AL2946))-2</f>
        <v/>
      </c>
      <c r="E7" s="13">
        <f>COUNTA(_xlfn.UNIQUE(Planilha!AM2:AM2946))-2</f>
        <v/>
      </c>
      <c r="F7" s="68">
        <f>COUNTA(_xlfn.UNIQUE(Planilha!W2:W2946))-1</f>
        <v/>
      </c>
      <c r="G7" s="86" t="n"/>
      <c r="H7" s="87" t="n"/>
    </row>
    <row r="8" ht="14.4" customHeight="1">
      <c r="B8" s="92" t="n"/>
      <c r="C8" s="96" t="inlineStr">
        <is>
          <t>Firmadas</t>
        </is>
      </c>
      <c r="D8" s="95" t="n"/>
      <c r="E8" s="94" t="inlineStr">
        <is>
          <t>Livres</t>
        </is>
      </c>
      <c r="F8" s="95" t="n"/>
      <c r="G8" s="88" t="inlineStr">
        <is>
          <t>Horas</t>
        </is>
      </c>
      <c r="H8" s="90" t="inlineStr">
        <is>
          <t>Pontos</t>
        </is>
      </c>
    </row>
    <row r="9">
      <c r="B9" s="93" t="n"/>
      <c r="C9" s="52" t="inlineStr">
        <is>
          <t>Horas</t>
        </is>
      </c>
      <c r="D9" s="53" t="inlineStr">
        <is>
          <t>Pontos</t>
        </is>
      </c>
      <c r="E9" s="53" t="inlineStr">
        <is>
          <t>Horas</t>
        </is>
      </c>
      <c r="F9" s="53" t="inlineStr">
        <is>
          <t>Pontos</t>
        </is>
      </c>
      <c r="G9" s="89" t="n"/>
      <c r="H9" s="91" t="n"/>
    </row>
    <row r="10">
      <c r="B10" s="57">
        <f>Parâmetros!F3</f>
        <v/>
      </c>
      <c r="C10" s="13">
        <f>SUMIFS(Planilha!$S$2:$S$2946,Planilha!$L$2:$L$2946,B10,Planilha!$AC$2:$AC$2946,"X")</f>
        <v/>
      </c>
      <c r="D10" s="14">
        <f>SUMIFS(Planilha!$T$2:$T$2946,Planilha!$L$2:$L$2946,B10,Planilha!$AC$2:$AC$2946,"X")</f>
        <v/>
      </c>
      <c r="E10" s="13">
        <f>G10-C10</f>
        <v/>
      </c>
      <c r="F10" s="14">
        <f>H10-D10</f>
        <v/>
      </c>
      <c r="G10" s="68">
        <f>SUMIF(Planilha!$L$2:$L$2946,B10,Planilha!$S$2:$S$2946)</f>
        <v/>
      </c>
      <c r="H10" s="69">
        <f>SUMIF(Planilha!$L$2:$L$2946,B10,Planilha!$T$2:$T$2946)</f>
        <v/>
      </c>
    </row>
    <row r="11">
      <c r="B11" s="55">
        <f>Parâmetros!F4</f>
        <v/>
      </c>
      <c r="C11" s="13">
        <f>SUMIFS(Planilha!$S$2:$S$2946,Planilha!$L$2:$L$2946,B11,Planilha!$AC$2:$AC$2946,"X")</f>
        <v/>
      </c>
      <c r="D11" s="14">
        <f>SUMIFS(Planilha!$T$2:$T$2946,Planilha!$L$2:$L$2946,B11,Planilha!$AC$2:$AC$2946,"X")</f>
        <v/>
      </c>
      <c r="E11" s="13">
        <f>G11-C11</f>
        <v/>
      </c>
      <c r="F11" s="14">
        <f>H11-D11</f>
        <v/>
      </c>
      <c r="G11" s="68">
        <f>SUMIF(Planilha!$L$2:$L$2946,B11,Planilha!$S$2:$S$2946)</f>
        <v/>
      </c>
      <c r="H11" s="69">
        <f>SUMIF(Planilha!$L$2:$L$2946,B11,Planilha!$T$2:$T$2946)</f>
        <v/>
      </c>
    </row>
    <row r="12">
      <c r="B12" s="55">
        <f>Parâmetros!F5</f>
        <v/>
      </c>
      <c r="C12" s="13">
        <f>SUMIFS(Planilha!$S$2:$S$2946,Planilha!$L$2:$L$2946,B12,Planilha!$AC$2:$AC$2946,"X")</f>
        <v/>
      </c>
      <c r="D12" s="14">
        <f>SUMIFS(Planilha!$T$2:$T$2946,Planilha!$L$2:$L$2946,B12,Planilha!$AC$2:$AC$2946,"X")</f>
        <v/>
      </c>
      <c r="E12" s="13">
        <f>G12-C12</f>
        <v/>
      </c>
      <c r="F12" s="14">
        <f>H12-D12</f>
        <v/>
      </c>
      <c r="G12" s="68">
        <f>SUMIF(Planilha!$L$2:$L$2946,B12,Planilha!$S$2:$S$2946)</f>
        <v/>
      </c>
      <c r="H12" s="69">
        <f>SUMIF(Planilha!$L$2:$L$2946,B12,Planilha!$T$2:$T$2946)</f>
        <v/>
      </c>
    </row>
    <row r="13">
      <c r="B13" s="55">
        <f>Parâmetros!F6</f>
        <v/>
      </c>
      <c r="C13" s="13">
        <f>SUMIFS(Planilha!$S$2:$S$2946,Planilha!$L$2:$L$2946,B13,Planilha!$AC$2:$AC$2946,"X")</f>
        <v/>
      </c>
      <c r="D13" s="14">
        <f>SUMIFS(Planilha!$T$2:$T$2946,Planilha!$L$2:$L$2946,B13,Planilha!$AC$2:$AC$2946,"X")</f>
        <v/>
      </c>
      <c r="E13" s="13">
        <f>G13-C13</f>
        <v/>
      </c>
      <c r="F13" s="14">
        <f>H13-D13</f>
        <v/>
      </c>
      <c r="G13" s="68">
        <f>SUMIF(Planilha!$L$2:$L$2946,B13,Planilha!$S$2:$S$2946)</f>
        <v/>
      </c>
      <c r="H13" s="69">
        <f>SUMIF(Planilha!$L$2:$L$2946,B13,Planilha!$T$2:$T$2946)</f>
        <v/>
      </c>
    </row>
    <row r="14">
      <c r="B14" s="55">
        <f>Parâmetros!F7</f>
        <v/>
      </c>
      <c r="C14" s="13">
        <f>SUMIFS(Planilha!$S$2:$S$2946,Planilha!$L$2:$L$2946,B14,Planilha!$AC$2:$AC$2946,"X")</f>
        <v/>
      </c>
      <c r="D14" s="14">
        <f>SUMIFS(Planilha!$T$2:$T$2946,Planilha!$L$2:$L$2946,B14,Planilha!$AC$2:$AC$2946,"X")</f>
        <v/>
      </c>
      <c r="E14" s="13">
        <f>G14-C14</f>
        <v/>
      </c>
      <c r="F14" s="14">
        <f>H14-D14</f>
        <v/>
      </c>
      <c r="G14" s="68">
        <f>SUMIF(Planilha!$L$2:$L$2946,B14,Planilha!$S$2:$S$2946)</f>
        <v/>
      </c>
      <c r="H14" s="69">
        <f>SUMIF(Planilha!$L$2:$L$2946,B14,Planilha!$T$2:$T$2946)</f>
        <v/>
      </c>
    </row>
    <row r="15">
      <c r="B15" s="55">
        <f>Parâmetros!F8</f>
        <v/>
      </c>
      <c r="C15" s="13">
        <f>SUMIFS(Planilha!$S$2:$S$2946,Planilha!$L$2:$L$2946,B15,Planilha!$AC$2:$AC$2946,"X")</f>
        <v/>
      </c>
      <c r="D15" s="14">
        <f>SUMIFS(Planilha!$T$2:$T$2946,Planilha!$L$2:$L$2946,B15,Planilha!$AC$2:$AC$2946,"X")</f>
        <v/>
      </c>
      <c r="E15" s="13">
        <f>G15-C15</f>
        <v/>
      </c>
      <c r="F15" s="14">
        <f>H15-D15</f>
        <v/>
      </c>
      <c r="G15" s="68">
        <f>SUMIF(Planilha!$L$2:$L$2946,B15,Planilha!$S$2:$S$2946)</f>
        <v/>
      </c>
      <c r="H15" s="69">
        <f>SUMIF(Planilha!$L$2:$L$2946,B15,Planilha!$T$2:$T$2946)</f>
        <v/>
      </c>
    </row>
    <row r="16" ht="15" customHeight="1">
      <c r="B16" s="55">
        <f>Parâmetros!F9</f>
        <v/>
      </c>
      <c r="C16" s="13">
        <f>SUMIFS(Planilha!$S$2:$S$2946,Planilha!$L$2:$L$2946,B16,Planilha!$AC$2:$AC$2946,"X")</f>
        <v/>
      </c>
      <c r="D16" s="14">
        <f>SUMIFS(Planilha!$T$2:$T$2946,Planilha!$L$2:$L$2946,B16,Planilha!$AC$2:$AC$2946,"X")</f>
        <v/>
      </c>
      <c r="E16" s="13">
        <f>G16-C16</f>
        <v/>
      </c>
      <c r="F16" s="14">
        <f>H16-D16</f>
        <v/>
      </c>
      <c r="G16" s="68">
        <f>SUMIF(Planilha!$L$2:$L$2946,B16,Planilha!$S$2:$S$2946)</f>
        <v/>
      </c>
      <c r="H16" s="69">
        <f>SUMIF(Planilha!$L$2:$L$2946,B16,Planilha!$T$2:$T$2946)</f>
        <v/>
      </c>
    </row>
    <row r="17" ht="15" customHeight="1">
      <c r="B17" s="56">
        <f>Parâmetros!F10</f>
        <v/>
      </c>
      <c r="C17" s="13">
        <f>SUMIFS(Planilha!$S$2:$S$2946,Planilha!$L$2:$L$2946,B17,Planilha!$AC$2:$AC$2946,"X")</f>
        <v/>
      </c>
      <c r="D17" s="14">
        <f>SUMIFS(Planilha!$T$2:$T$2946,Planilha!$L$2:$L$2946,B17,Planilha!$AC$2:$AC$2946,"X")</f>
        <v/>
      </c>
      <c r="E17" s="13">
        <f>G17-C17</f>
        <v/>
      </c>
      <c r="F17" s="14">
        <f>H17-D17</f>
        <v/>
      </c>
      <c r="G17" s="68">
        <f>SUMIF(Planilha!$L$2:$L$2946,B17,Planilha!$S$2:$S$2946)</f>
        <v/>
      </c>
      <c r="H17" s="69">
        <f>SUMIF(Planilha!$L$2:$L$2946,B17,Planilha!$T$2:$T$2946)</f>
        <v/>
      </c>
    </row>
    <row r="18">
      <c r="B18" s="8" t="n"/>
      <c r="C18" s="68">
        <f>SUM(C10:C17)</f>
        <v/>
      </c>
      <c r="D18" s="69">
        <f>SUM(D10:D17)</f>
        <v/>
      </c>
      <c r="E18" s="68">
        <f>SUM(E10:E17)</f>
        <v/>
      </c>
      <c r="F18" s="69">
        <f>SUM(F10:F17)</f>
        <v/>
      </c>
      <c r="G18" s="66">
        <f>SUM(G10:G17)</f>
        <v/>
      </c>
      <c r="H18" s="67">
        <f>SUM(H10:H17)</f>
        <v/>
      </c>
    </row>
  </sheetData>
  <mergeCells count="6">
    <mergeCell ref="G2:H7"/>
    <mergeCell ref="G8:G9"/>
    <mergeCell ref="H8:H9"/>
    <mergeCell ref="B8:B9"/>
    <mergeCell ref="E8:F8"/>
    <mergeCell ref="C8:D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N12"/>
  <sheetViews>
    <sheetView showGridLines="0" workbookViewId="0">
      <selection activeCell="S10" sqref="S10"/>
    </sheetView>
  </sheetViews>
  <sheetFormatPr baseColWidth="8" defaultColWidth="8.6640625" defaultRowHeight="14.4"/>
  <cols>
    <col width="2.33203125" customWidth="1" min="1" max="1"/>
    <col width="23.88671875" bestFit="1" customWidth="1" min="2" max="2"/>
    <col width="2.33203125" customWidth="1" min="3" max="3"/>
    <col width="19.6640625" customWidth="1" min="4" max="4"/>
    <col width="2.33203125" customWidth="1" min="5" max="5"/>
    <col width="25.33203125" customWidth="1" min="6" max="6"/>
    <col width="9.44140625" bestFit="1" customWidth="1" min="7" max="7"/>
    <col width="46.5546875" bestFit="1" customWidth="1" min="8" max="8"/>
    <col width="2.33203125" customWidth="1" min="9" max="9"/>
    <col width="7.88671875" bestFit="1" customWidth="1" min="10" max="10"/>
    <col width="33.33203125" bestFit="1" customWidth="1" min="11" max="11"/>
    <col width="2.33203125" customWidth="1" min="12" max="12"/>
    <col width="8.6640625" bestFit="1" customWidth="1" min="13" max="13"/>
    <col width="9.33203125" bestFit="1" customWidth="1" min="14" max="14"/>
    <col width="2.33203125" customWidth="1" min="15" max="15"/>
  </cols>
  <sheetData>
    <row r="2">
      <c r="B2" s="1" t="inlineStr">
        <is>
          <t>Tipos Jira</t>
        </is>
      </c>
      <c r="D2" s="1" t="inlineStr">
        <is>
          <t>Etapa Jira</t>
        </is>
      </c>
      <c r="F2" t="inlineStr">
        <is>
          <t>Pessoas</t>
        </is>
      </c>
      <c r="G2" t="inlineStr">
        <is>
          <t>Role</t>
        </is>
      </c>
      <c r="H2" t="inlineStr">
        <is>
          <t>UUID Jira</t>
        </is>
      </c>
      <c r="J2" t="inlineStr">
        <is>
          <t>Tipos</t>
        </is>
      </c>
      <c r="K2" t="inlineStr">
        <is>
          <t>Descrição</t>
        </is>
      </c>
      <c r="M2" s="64" t="inlineStr">
        <is>
          <t>Horas</t>
        </is>
      </c>
      <c r="N2" s="64" t="inlineStr">
        <is>
          <t>Pontos</t>
        </is>
      </c>
    </row>
    <row r="3" ht="14.4" customHeight="1">
      <c r="B3" s="80" t="inlineStr">
        <is>
          <t>NOVO DESENVOLVIMENTO</t>
        </is>
      </c>
      <c r="D3" s="80" t="inlineStr">
        <is>
          <t>Análise Funcional</t>
        </is>
      </c>
      <c r="F3" t="inlineStr">
        <is>
          <t>Alexandre Trindade Pereira</t>
        </is>
      </c>
      <c r="G3" t="inlineStr">
        <is>
          <t>AMS</t>
        </is>
      </c>
      <c r="H3" t="inlineStr">
        <is>
          <t>712020:4a0c9d58-dbcd-4acf-b9ef-a74bff31dc8e</t>
        </is>
      </c>
      <c r="J3" t="inlineStr">
        <is>
          <t>BL</t>
        </is>
      </c>
      <c r="K3" t="inlineStr">
        <is>
          <t>Base Line</t>
        </is>
      </c>
      <c r="M3" s="65" t="n">
        <v>7.9</v>
      </c>
      <c r="N3" s="65" t="n">
        <v>0.5</v>
      </c>
    </row>
    <row r="4">
      <c r="B4" s="80" t="inlineStr">
        <is>
          <t>ALTERAÇÃO</t>
        </is>
      </c>
      <c r="D4" s="80" t="inlineStr">
        <is>
          <t>Implementação</t>
        </is>
      </c>
      <c r="F4" t="inlineStr">
        <is>
          <t>Giovani Perotto Mesquita</t>
        </is>
      </c>
      <c r="G4" t="inlineStr">
        <is>
          <t>PO</t>
        </is>
      </c>
      <c r="H4" t="inlineStr">
        <is>
          <t>712020:8364b9cf-88a2-4399-9f86-fff7bed77ce2</t>
        </is>
      </c>
      <c r="J4" t="inlineStr">
        <is>
          <t>CR</t>
        </is>
      </c>
      <c r="K4" t="inlineStr">
        <is>
          <t>Atividades remuneradas extra não BL</t>
        </is>
      </c>
      <c r="M4" s="65" t="n">
        <v>23.9</v>
      </c>
      <c r="N4" s="65" t="n">
        <v>1</v>
      </c>
    </row>
    <row r="5">
      <c r="B5" s="80" t="inlineStr">
        <is>
          <t>DÚVIDA</t>
        </is>
      </c>
      <c r="D5" s="80" t="inlineStr">
        <is>
          <t>Execução de Testes</t>
        </is>
      </c>
      <c r="F5" t="inlineStr">
        <is>
          <t>Luis Henrique Petkovicz</t>
        </is>
      </c>
      <c r="G5" t="inlineStr">
        <is>
          <t>Developer</t>
        </is>
      </c>
      <c r="H5" t="inlineStr">
        <is>
          <t>557058:43e80a76-deba-4dd8-b64d-c7c8e99c6312</t>
        </is>
      </c>
      <c r="J5" t="inlineStr">
        <is>
          <t>MP</t>
        </is>
      </c>
      <c r="K5" t="inlineStr">
        <is>
          <t>Micro Projeto</t>
        </is>
      </c>
      <c r="M5" s="65" t="n">
        <v>39.9</v>
      </c>
      <c r="N5" s="65" t="n">
        <v>2</v>
      </c>
    </row>
    <row r="6">
      <c r="B6" s="3" t="inlineStr">
        <is>
          <t>ERRO</t>
        </is>
      </c>
      <c r="D6" s="80" t="inlineStr">
        <is>
          <t>Demonstração-Aceite</t>
        </is>
      </c>
      <c r="F6" t="inlineStr">
        <is>
          <t>Luiz Felipe Brandão da Silva</t>
        </is>
      </c>
      <c r="G6" t="inlineStr">
        <is>
          <t>Developer</t>
        </is>
      </c>
      <c r="H6" t="inlineStr">
        <is>
          <t>6245e14af6a26900695d5c1c</t>
        </is>
      </c>
      <c r="M6" s="65" t="n">
        <v>59.9</v>
      </c>
      <c r="N6" s="65" t="n">
        <v>3</v>
      </c>
    </row>
    <row r="7">
      <c r="D7" s="80" t="inlineStr">
        <is>
          <t>Preparação de Dados</t>
        </is>
      </c>
      <c r="F7" t="inlineStr">
        <is>
          <t>Pablo Rocha</t>
        </is>
      </c>
      <c r="G7" t="inlineStr">
        <is>
          <t>Developer</t>
        </is>
      </c>
      <c r="H7" t="inlineStr">
        <is>
          <t>557058:004709f9-0a88-4979-a875-f58ca3985cf7</t>
        </is>
      </c>
      <c r="M7" s="65" t="n">
        <v>79.90000000000001</v>
      </c>
      <c r="N7" s="65" t="n">
        <v>5</v>
      </c>
    </row>
    <row r="8">
      <c r="D8" s="80" t="inlineStr">
        <is>
          <t>Análise Técnica</t>
        </is>
      </c>
      <c r="F8" t="inlineStr">
        <is>
          <t>Regina Albanus</t>
        </is>
      </c>
      <c r="G8" t="inlineStr">
        <is>
          <t>Developer</t>
        </is>
      </c>
      <c r="H8" t="inlineStr">
        <is>
          <t>557058:330c824e-66ab-4df0-b7eb-8ddf9d578a4e</t>
        </is>
      </c>
      <c r="M8" s="65" t="n">
        <v>99.90000000000001</v>
      </c>
      <c r="N8" s="65" t="n">
        <v>8</v>
      </c>
    </row>
    <row r="9" ht="14.4" customHeight="1">
      <c r="D9" s="80" t="inlineStr">
        <is>
          <t>Caso de Teste</t>
        </is>
      </c>
      <c r="F9" t="inlineStr">
        <is>
          <t>Stephanie Oliveira</t>
        </is>
      </c>
      <c r="G9" t="inlineStr">
        <is>
          <t>PO</t>
        </is>
      </c>
      <c r="H9" t="inlineStr">
        <is>
          <t>606b1d7bbc3c3f006ffa75a2</t>
        </is>
      </c>
      <c r="M9" s="65" t="n">
        <v>9999999</v>
      </c>
      <c r="N9" s="65" t="n">
        <v>13</v>
      </c>
    </row>
    <row r="10" ht="15" customHeight="1">
      <c r="D10" s="80" t="inlineStr">
        <is>
          <t>Teste Unitário</t>
        </is>
      </c>
      <c r="F10" t="inlineStr">
        <is>
          <t>Tanise Sarmento</t>
        </is>
      </c>
      <c r="G10" t="inlineStr">
        <is>
          <t>PO</t>
        </is>
      </c>
      <c r="H10" t="inlineStr">
        <is>
          <t>712020:4d5b2de5-c33f-44cb-8545-f17228d08baf</t>
        </is>
      </c>
    </row>
    <row r="11">
      <c r="D11" s="80" t="inlineStr">
        <is>
          <t>Plano de Testes</t>
        </is>
      </c>
    </row>
    <row r="12">
      <c r="D12" s="3" t="inlineStr">
        <is>
          <t>Caso de Uso</t>
        </is>
      </c>
    </row>
  </sheetData>
  <pageMargins left="0.511811024" right="0.511811024" top="0.787401575" bottom="0.787401575" header="0.31496062" footer="0.31496062"/>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PEROTTO MESQUITA, GIOVANI</dc:creator>
  <dcterms:created xsi:type="dcterms:W3CDTF">2025-09-30T14:23:45Z</dcterms:created>
  <dcterms:modified xsi:type="dcterms:W3CDTF">2026-08-21T21:58:06Z</dcterms:modified>
  <cp:lastModifiedBy>PEROTTO MESQUITA, GIOVANI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0x0101003AA76C533D05464883196520997177C7</vt:lpwstr>
  </property>
  <property name="MediaServiceImageTags" fmtid="{D5CDD505-2E9C-101B-9397-08002B2CF9AE}" pid="3">
    <vt:lpwstr/>
  </property>
</Properties>
</file>